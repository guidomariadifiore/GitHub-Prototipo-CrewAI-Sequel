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glio1" sheetId="1" r:id="rId4"/>
  </sheets>
  <definedNames/>
  <calcPr/>
  <extLst>
    <ext uri="GoogleSheetsCustomDataVersion2">
      <go:sheetsCustomData xmlns:go="http://customooxmlschemas.google.com/" r:id="rId5" roundtripDataChecksum="hWLs5wEf9JPgz+c/OAt0/L7Zhd1wNDsY1/33tAzD0TA="/>
    </ext>
  </extLst>
</workbook>
</file>

<file path=xl/sharedStrings.xml><?xml version="1.0" encoding="utf-8"?>
<sst xmlns="http://schemas.openxmlformats.org/spreadsheetml/2006/main" count="40" uniqueCount="25">
  <si>
    <t>Project name</t>
  </si>
  <si>
    <t>run1</t>
  </si>
  <si>
    <t>run2</t>
  </si>
  <si>
    <t>run3</t>
  </si>
  <si>
    <t>run4</t>
  </si>
  <si>
    <t>run5</t>
  </si>
  <si>
    <t>average</t>
  </si>
  <si>
    <t>POST REFACTORING</t>
  </si>
  <si>
    <t>Difference</t>
  </si>
  <si>
    <t>Percentage difference</t>
  </si>
  <si>
    <t>spring-petclinic</t>
  </si>
  <si>
    <t>commons-compress</t>
  </si>
  <si>
    <t>commons-lang</t>
  </si>
  <si>
    <t>not measurable</t>
  </si>
  <si>
    <t>commons-beanutils</t>
  </si>
  <si>
    <t>not reliably measurable</t>
  </si>
  <si>
    <t>commons-codec</t>
  </si>
  <si>
    <t>commons-dbcp</t>
  </si>
  <si>
    <t>commons-dbutils</t>
  </si>
  <si>
    <t>commons-net</t>
  </si>
  <si>
    <t>commons-pool</t>
  </si>
  <si>
    <t>commons-text</t>
  </si>
  <si>
    <t>Avg pre-refactoring</t>
  </si>
  <si>
    <t>avg post-refactoring</t>
  </si>
  <si>
    <t>percentage difference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</si>
</sst>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1" numFmtId="10" xfId="0" applyFont="1" applyNumberFormat="1"/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center"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0" xfId="0" applyAlignment="1" applyFont="1">
      <alignment horizontal="center" shrinkToFit="0" vertical="center" wrapText="0"/>
    </xf>
    <xf borderId="0" fillId="0" fontId="1" numFmtId="10" xfId="0" applyAlignment="1" applyFont="1" applyNumberFormat="1">
      <alignment horizontal="center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Foglio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D18:G26" displayName="Tabella_1" name="Tabella_1" id="1">
  <tableColumns count="4">
    <tableColumn name="Project name" id="1"/>
    <tableColumn name="Avg pre-refactoring" id="2"/>
    <tableColumn name="avg post-refactoring" id="3"/>
    <tableColumn name="percentage difference" id="4"/>
  </tableColumns>
  <tableStyleInfo name="Foglio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" width="8.71"/>
    <col customWidth="1" min="4" max="4" width="23.29"/>
    <col customWidth="1" min="5" max="5" width="15.71"/>
    <col customWidth="1" min="6" max="6" width="26.29"/>
    <col customWidth="1" min="7" max="7" width="27.43"/>
    <col customWidth="1" min="8" max="8" width="31.14"/>
    <col customWidth="1" min="9" max="9" width="8.71"/>
    <col customWidth="1" min="10" max="10" width="9.43"/>
    <col customWidth="1" min="11" max="30" width="8.71"/>
  </cols>
  <sheetData>
    <row r="1" ht="14.25" customHeight="1"/>
    <row r="2" ht="14.25" customHeight="1">
      <c r="A2" s="1" t="s">
        <v>0</v>
      </c>
      <c r="D2" s="2" t="s">
        <v>1</v>
      </c>
      <c r="E2" s="2" t="s">
        <v>2</v>
      </c>
      <c r="F2" s="2" t="s">
        <v>3</v>
      </c>
      <c r="G2" s="1" t="s">
        <v>4</v>
      </c>
      <c r="H2" s="1" t="s">
        <v>5</v>
      </c>
      <c r="I2" s="1" t="s">
        <v>6</v>
      </c>
      <c r="K2" s="1" t="s">
        <v>7</v>
      </c>
      <c r="N2" s="2" t="s">
        <v>1</v>
      </c>
      <c r="O2" s="2" t="s">
        <v>2</v>
      </c>
      <c r="P2" s="2" t="s">
        <v>3</v>
      </c>
      <c r="Q2" s="1" t="s">
        <v>4</v>
      </c>
      <c r="R2" s="1" t="s">
        <v>5</v>
      </c>
      <c r="S2" s="1" t="s">
        <v>6</v>
      </c>
      <c r="U2" s="1" t="s">
        <v>8</v>
      </c>
      <c r="X2" s="1" t="s">
        <v>9</v>
      </c>
    </row>
    <row r="3" ht="14.25" customHeight="1">
      <c r="A3" s="2" t="s">
        <v>10</v>
      </c>
      <c r="D3" s="1">
        <v>544.22</v>
      </c>
      <c r="E3" s="1">
        <v>568.53</v>
      </c>
      <c r="F3" s="1">
        <v>563.88</v>
      </c>
      <c r="G3" s="1">
        <v>722.89</v>
      </c>
      <c r="H3" s="1">
        <v>506.94</v>
      </c>
      <c r="I3" s="2">
        <f t="shared" ref="I3:I12" si="1">AVERAGE(D3:H3)</f>
        <v>581.292</v>
      </c>
      <c r="N3" s="1">
        <v>784.24</v>
      </c>
      <c r="O3" s="1">
        <v>496.55</v>
      </c>
      <c r="P3" s="1">
        <v>459.23</v>
      </c>
      <c r="Q3" s="1">
        <v>522.6</v>
      </c>
      <c r="R3" s="1">
        <v>524.69</v>
      </c>
      <c r="S3" s="2">
        <f t="shared" ref="S3:S12" si="2">AVERAGE(N3:R3)</f>
        <v>557.462</v>
      </c>
      <c r="U3" s="2" t="str">
        <f t="shared" ref="U3:U12" si="3">IMSUB(S3,I3)</f>
        <v>-23,83</v>
      </c>
      <c r="X3" s="3">
        <f t="shared" ref="X3:X12" si="4">U3/AVERAGE(I3,S3)</f>
        <v>-0.04185276188</v>
      </c>
    </row>
    <row r="4" ht="14.25" customHeight="1">
      <c r="A4" s="2" t="s">
        <v>11</v>
      </c>
      <c r="D4" s="1">
        <v>4724.79</v>
      </c>
      <c r="E4" s="1">
        <v>5361.76</v>
      </c>
      <c r="F4" s="1">
        <v>4837.82</v>
      </c>
      <c r="G4" s="1">
        <v>3809.02</v>
      </c>
      <c r="H4" s="1">
        <v>4696.83</v>
      </c>
      <c r="I4" s="2">
        <f t="shared" si="1"/>
        <v>4686.044</v>
      </c>
      <c r="N4" s="1">
        <v>4183.43</v>
      </c>
      <c r="O4" s="1">
        <v>4951.45</v>
      </c>
      <c r="P4" s="1">
        <v>5077.01</v>
      </c>
      <c r="Q4" s="1">
        <v>5182.02</v>
      </c>
      <c r="R4" s="1">
        <v>5018.7</v>
      </c>
      <c r="S4" s="2">
        <f t="shared" si="2"/>
        <v>4882.522</v>
      </c>
      <c r="U4" s="2" t="str">
        <f t="shared" si="3"/>
        <v>196,478000000001</v>
      </c>
      <c r="X4" s="3">
        <f t="shared" si="4"/>
        <v>0.04106738669</v>
      </c>
    </row>
    <row r="5" ht="14.25" customHeight="1">
      <c r="A5" s="2" t="s">
        <v>12</v>
      </c>
      <c r="D5" s="1" t="s">
        <v>13</v>
      </c>
      <c r="I5" s="2" t="str">
        <f t="shared" si="1"/>
        <v>#DIV/0!</v>
      </c>
      <c r="S5" s="2" t="str">
        <f t="shared" si="2"/>
        <v>#DIV/0!</v>
      </c>
      <c r="U5" s="2" t="str">
        <f t="shared" si="3"/>
        <v>#DIV/0!</v>
      </c>
      <c r="X5" s="3" t="str">
        <f t="shared" si="4"/>
        <v>#DIV/0!</v>
      </c>
    </row>
    <row r="6" ht="14.25" customHeight="1">
      <c r="A6" s="2" t="s">
        <v>14</v>
      </c>
      <c r="D6" s="1" t="s">
        <v>15</v>
      </c>
      <c r="I6" s="2" t="str">
        <f t="shared" si="1"/>
        <v>#DIV/0!</v>
      </c>
      <c r="S6" s="2" t="str">
        <f t="shared" si="2"/>
        <v>#DIV/0!</v>
      </c>
      <c r="U6" s="2" t="str">
        <f t="shared" si="3"/>
        <v>#DIV/0!</v>
      </c>
      <c r="X6" s="3" t="str">
        <f t="shared" si="4"/>
        <v>#DIV/0!</v>
      </c>
    </row>
    <row r="7" ht="14.25" customHeight="1">
      <c r="A7" s="2" t="s">
        <v>16</v>
      </c>
      <c r="D7" s="1">
        <v>727.63</v>
      </c>
      <c r="E7" s="1">
        <v>633.53</v>
      </c>
      <c r="F7" s="1">
        <v>719.45</v>
      </c>
      <c r="G7" s="1">
        <v>720.15</v>
      </c>
      <c r="H7" s="1">
        <v>729.79</v>
      </c>
      <c r="I7" s="2">
        <f t="shared" si="1"/>
        <v>706.11</v>
      </c>
      <c r="N7" s="1">
        <v>878.48</v>
      </c>
      <c r="O7" s="1">
        <v>884.01</v>
      </c>
      <c r="P7" s="1">
        <v>939.08</v>
      </c>
      <c r="Q7" s="1">
        <v>848.48</v>
      </c>
      <c r="R7" s="1">
        <v>841.16</v>
      </c>
      <c r="S7" s="2">
        <f t="shared" si="2"/>
        <v>878.242</v>
      </c>
      <c r="U7" s="2" t="str">
        <f t="shared" si="3"/>
        <v>172,132</v>
      </c>
      <c r="X7" s="3">
        <f t="shared" si="4"/>
        <v>0.2172900972</v>
      </c>
    </row>
    <row r="8" ht="14.25" customHeight="1">
      <c r="A8" s="2" t="s">
        <v>17</v>
      </c>
      <c r="D8" s="1">
        <v>1534.64</v>
      </c>
      <c r="E8" s="1">
        <v>1296.26</v>
      </c>
      <c r="F8" s="1">
        <v>1212.77</v>
      </c>
      <c r="G8" s="1">
        <v>1425.0</v>
      </c>
      <c r="H8" s="1">
        <v>1493.45</v>
      </c>
      <c r="I8" s="2">
        <f t="shared" si="1"/>
        <v>1392.424</v>
      </c>
      <c r="N8" s="1">
        <v>1487.5</v>
      </c>
      <c r="O8" s="1">
        <v>1410.87</v>
      </c>
      <c r="P8" s="1">
        <v>1577.42</v>
      </c>
      <c r="Q8" s="1">
        <v>1539.73</v>
      </c>
      <c r="R8" s="1">
        <v>1481.96</v>
      </c>
      <c r="S8" s="2">
        <f t="shared" si="2"/>
        <v>1499.496</v>
      </c>
      <c r="U8" s="2" t="str">
        <f t="shared" si="3"/>
        <v>107,072</v>
      </c>
      <c r="X8" s="3">
        <f t="shared" si="4"/>
        <v>0.07404907466</v>
      </c>
    </row>
    <row r="9" ht="14.25" customHeight="1">
      <c r="A9" s="2" t="s">
        <v>18</v>
      </c>
      <c r="D9" s="1">
        <v>254.47</v>
      </c>
      <c r="E9" s="1">
        <v>237.07</v>
      </c>
      <c r="F9" s="1">
        <v>179.84</v>
      </c>
      <c r="G9" s="1">
        <v>253.74</v>
      </c>
      <c r="H9" s="1">
        <v>183.56</v>
      </c>
      <c r="I9" s="2">
        <f t="shared" si="1"/>
        <v>221.736</v>
      </c>
      <c r="N9" s="1">
        <v>250.46</v>
      </c>
      <c r="O9" s="1">
        <v>254.03</v>
      </c>
      <c r="P9" s="1">
        <v>232.26</v>
      </c>
      <c r="Q9" s="1">
        <v>220.81</v>
      </c>
      <c r="R9" s="1">
        <v>231.39</v>
      </c>
      <c r="S9" s="2">
        <f t="shared" si="2"/>
        <v>237.79</v>
      </c>
      <c r="U9" s="2" t="str">
        <f t="shared" si="3"/>
        <v>16,0539999999999</v>
      </c>
      <c r="X9" s="3">
        <f t="shared" si="4"/>
        <v>0.06987199854</v>
      </c>
    </row>
    <row r="10" ht="14.25" customHeight="1">
      <c r="A10" s="2" t="s">
        <v>19</v>
      </c>
      <c r="D10" s="1">
        <v>1157.63</v>
      </c>
      <c r="E10" s="1">
        <v>1135.64</v>
      </c>
      <c r="F10" s="1">
        <v>1161.45</v>
      </c>
      <c r="G10" s="1">
        <v>1142.06</v>
      </c>
      <c r="H10" s="1">
        <v>1161.0</v>
      </c>
      <c r="I10" s="2">
        <f t="shared" si="1"/>
        <v>1151.556</v>
      </c>
      <c r="N10" s="1">
        <v>1181.96</v>
      </c>
      <c r="O10" s="1">
        <v>1156.06</v>
      </c>
      <c r="P10" s="1">
        <v>1190.49</v>
      </c>
      <c r="Q10" s="1">
        <v>1174.68</v>
      </c>
      <c r="R10" s="1">
        <v>1148.99</v>
      </c>
      <c r="S10" s="2">
        <f t="shared" si="2"/>
        <v>1170.436</v>
      </c>
      <c r="U10" s="2" t="str">
        <f t="shared" si="3"/>
        <v>18,8800000000001</v>
      </c>
      <c r="X10" s="3">
        <f t="shared" si="4"/>
        <v>0.01626189927</v>
      </c>
    </row>
    <row r="11" ht="14.25" customHeight="1">
      <c r="A11" s="2" t="s">
        <v>20</v>
      </c>
      <c r="D11" s="1">
        <v>7141.52</v>
      </c>
      <c r="E11" s="1">
        <v>7069.32</v>
      </c>
      <c r="F11" s="1">
        <v>7233.98</v>
      </c>
      <c r="G11" s="1">
        <v>5184.79</v>
      </c>
      <c r="H11" s="1">
        <v>5214.64</v>
      </c>
      <c r="I11" s="2">
        <f t="shared" si="1"/>
        <v>6368.85</v>
      </c>
      <c r="N11" s="1">
        <v>5211.76</v>
      </c>
      <c r="O11" s="1">
        <v>5258.93</v>
      </c>
      <c r="P11" s="1">
        <v>5330.82</v>
      </c>
      <c r="Q11" s="1">
        <v>5258.93</v>
      </c>
      <c r="R11" s="1">
        <v>5241.71</v>
      </c>
      <c r="S11" s="2">
        <f t="shared" si="2"/>
        <v>5260.43</v>
      </c>
      <c r="U11" s="2" t="str">
        <f t="shared" si="3"/>
        <v>-1108,42</v>
      </c>
      <c r="X11" s="3">
        <f t="shared" si="4"/>
        <v>-0.1906257309</v>
      </c>
    </row>
    <row r="12" ht="14.25" customHeight="1">
      <c r="A12" s="2" t="s">
        <v>21</v>
      </c>
      <c r="D12" s="1">
        <v>2384.86</v>
      </c>
      <c r="E12" s="1">
        <v>2230.6</v>
      </c>
      <c r="F12" s="1">
        <v>2162.12</v>
      </c>
      <c r="G12" s="1">
        <v>2163.43</v>
      </c>
      <c r="H12" s="1">
        <v>2120.27</v>
      </c>
      <c r="I12" s="2">
        <f t="shared" si="1"/>
        <v>2212.256</v>
      </c>
      <c r="N12" s="1">
        <v>2275.48</v>
      </c>
      <c r="O12" s="1">
        <v>2370.01</v>
      </c>
      <c r="P12" s="1">
        <v>2192.41</v>
      </c>
      <c r="Q12" s="1">
        <v>2116.13</v>
      </c>
      <c r="R12" s="1">
        <v>2145.21</v>
      </c>
      <c r="S12" s="2">
        <f t="shared" si="2"/>
        <v>2219.848</v>
      </c>
      <c r="U12" s="2" t="str">
        <f t="shared" si="3"/>
        <v>7,59199999999919</v>
      </c>
      <c r="X12" s="3">
        <f t="shared" si="4"/>
        <v>0.003425912388</v>
      </c>
    </row>
    <row r="13" ht="14.25" customHeight="1"/>
    <row r="14" ht="14.25" customHeight="1"/>
    <row r="15" ht="14.25" customHeight="1"/>
    <row r="16" ht="14.25" customHeight="1"/>
    <row r="17" ht="14.25" customHeight="1"/>
    <row r="18" ht="14.25" customHeight="1">
      <c r="D18" s="4" t="s">
        <v>0</v>
      </c>
      <c r="E18" s="5" t="s">
        <v>22</v>
      </c>
      <c r="F18" s="5" t="s">
        <v>23</v>
      </c>
      <c r="G18" s="5" t="s">
        <v>24</v>
      </c>
    </row>
    <row r="19" ht="14.25" customHeight="1">
      <c r="D19" s="6" t="s">
        <v>10</v>
      </c>
      <c r="E19" s="7">
        <v>581.292</v>
      </c>
      <c r="F19" s="7">
        <v>557.462</v>
      </c>
      <c r="G19" s="8">
        <v>-0.041852761878333686</v>
      </c>
    </row>
    <row r="20" ht="14.25" customHeight="1">
      <c r="D20" s="6" t="s">
        <v>11</v>
      </c>
      <c r="E20" s="7">
        <v>4686.044</v>
      </c>
      <c r="F20" s="7">
        <v>4882.522000000001</v>
      </c>
      <c r="G20" s="8">
        <v>0.0410673866909631</v>
      </c>
    </row>
    <row r="21" ht="14.25" customHeight="1">
      <c r="D21" s="6" t="s">
        <v>16</v>
      </c>
      <c r="E21" s="7">
        <v>706.1099999999999</v>
      </c>
      <c r="F21" s="7">
        <v>878.242</v>
      </c>
      <c r="G21" s="8">
        <v>0.2172900971501283</v>
      </c>
    </row>
    <row r="22" ht="14.25" customHeight="1">
      <c r="D22" s="6" t="s">
        <v>17</v>
      </c>
      <c r="E22" s="7">
        <v>1392.424</v>
      </c>
      <c r="F22" s="7">
        <v>1499.496</v>
      </c>
      <c r="G22" s="8">
        <v>0.07404907466319953</v>
      </c>
    </row>
    <row r="23" ht="14.25" customHeight="1">
      <c r="D23" s="6" t="s">
        <v>18</v>
      </c>
      <c r="E23" s="7">
        <v>221.73600000000002</v>
      </c>
      <c r="F23" s="7">
        <v>237.78999999999996</v>
      </c>
      <c r="G23" s="8">
        <v>0.06987199853762312</v>
      </c>
    </row>
    <row r="24" ht="14.25" customHeight="1">
      <c r="D24" s="6" t="s">
        <v>19</v>
      </c>
      <c r="E24" s="7">
        <v>1151.556</v>
      </c>
      <c r="F24" s="7">
        <v>1170.4360000000001</v>
      </c>
      <c r="G24" s="8">
        <v>0.016261899265802893</v>
      </c>
    </row>
    <row r="25" ht="14.25" customHeight="1">
      <c r="D25" s="6" t="s">
        <v>20</v>
      </c>
      <c r="E25" s="7">
        <v>6368.85</v>
      </c>
      <c r="F25" s="7">
        <v>5260.43</v>
      </c>
      <c r="G25" s="8">
        <v>-0.19062573091369373</v>
      </c>
    </row>
    <row r="26" ht="14.25" customHeight="1">
      <c r="D26" s="6" t="s">
        <v>21</v>
      </c>
      <c r="E26" s="7">
        <v>2212.2560000000003</v>
      </c>
      <c r="F26" s="7">
        <v>2219.8479999999995</v>
      </c>
      <c r="G26" s="8">
        <v>0.0034259123883370927</v>
      </c>
    </row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</sheetData>
  <dataValidations>
    <dataValidation type="custom" allowBlank="1" showDropDown="1" sqref="G19:G26">
      <formula1>AND(ISNUMBER(G19),(NOT(OR(NOT(ISERROR(DATEVALUE(G19))), AND(ISNUMBER(G19), LEFT(CELL("format", G19))="D")))))</formula1>
    </dataValidation>
  </dataValidations>
  <printOptions/>
  <pageMargins bottom="0.75" footer="0.0" header="0.0" left="0.7" right="0.7" top="0.75"/>
  <pageSetup orientation="landscape"/>
  <drawing r:id="rId1"/>
  <tableParts count="1">
    <tablePart r:id="rId3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>Guido Maria Di Fiore</dc:creator>
</cp:coreProperties>
</file>