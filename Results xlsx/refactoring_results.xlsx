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<sst xmlns="http://schemas.openxmlformats.org/spreadsheetml/2006/main" count="429" uniqueCount="212">
  <si>
    <t>Name</t>
  </si>
  <si>
    <t>LOC</t>
  </si>
  <si>
    <t>Initial issues</t>
  </si>
  <si>
    <t>Final issues</t>
  </si>
  <si>
    <t>Initial coverage</t>
  </si>
  <si>
    <t>Final coverage</t>
  </si>
  <si>
    <t>New code coverage</t>
  </si>
  <si>
    <t>Initial test success</t>
  </si>
  <si>
    <t>Final test success</t>
  </si>
  <si>
    <t>Initial duplications</t>
  </si>
  <si>
    <t>Final duplications</t>
  </si>
  <si>
    <t>Failed refactorings</t>
  </si>
  <si>
    <t>Elapsed time (s)</t>
  </si>
  <si>
    <t>Enterprise projects</t>
  </si>
  <si>
    <t>spring-petclinic</t>
  </si>
  <si>
    <t>1.3k</t>
  </si>
  <si>
    <t>91.9%</t>
  </si>
  <si>
    <t>commons-compress</t>
  </si>
  <si>
    <t>45k</t>
  </si>
  <si>
    <t>84.6%</t>
  </si>
  <si>
    <t>84.2%</t>
  </si>
  <si>
    <t>93.1%</t>
  </si>
  <si>
    <t>99.1%</t>
  </si>
  <si>
    <t>1.5%</t>
  </si>
  <si>
    <t>1.4%</t>
  </si>
  <si>
    <t>commons-lang</t>
  </si>
  <si>
    <t>33k</t>
  </si>
  <si>
    <t>95.3%</t>
  </si>
  <si>
    <t>94.9%</t>
  </si>
  <si>
    <t>90.6%</t>
  </si>
  <si>
    <t>1.3%</t>
  </si>
  <si>
    <t>1.2%</t>
  </si>
  <si>
    <t>commons-beanutils</t>
  </si>
  <si>
    <t>9.1k</t>
  </si>
  <si>
    <t>74.8%</t>
  </si>
  <si>
    <t>75.1%</t>
  </si>
  <si>
    <t>84.8%</t>
  </si>
  <si>
    <t>99.8%</t>
  </si>
  <si>
    <t>99.4%</t>
  </si>
  <si>
    <t>commons-codec</t>
  </si>
  <si>
    <t>11k</t>
  </si>
  <si>
    <t>94.7%</t>
  </si>
  <si>
    <t>98.5%</t>
  </si>
  <si>
    <t>commons-configuration</t>
  </si>
  <si>
    <t>21k</t>
  </si>
  <si>
    <t>91.1%</t>
  </si>
  <si>
    <t>-</t>
  </si>
  <si>
    <t>0.1%</t>
  </si>
  <si>
    <t>commons-dbcp</t>
  </si>
  <si>
    <t>14k</t>
  </si>
  <si>
    <t>68.2%</t>
  </si>
  <si>
    <t>45.4%</t>
  </si>
  <si>
    <t>0.2%</t>
  </si>
  <si>
    <t>commons-dbutils</t>
  </si>
  <si>
    <t>3.6k</t>
  </si>
  <si>
    <t>70.8%</t>
  </si>
  <si>
    <t>commons-math</t>
  </si>
  <si>
    <t>70k</t>
  </si>
  <si>
    <t>74.6%</t>
  </si>
  <si>
    <t>2.7%</t>
  </si>
  <si>
    <t>commons-net</t>
  </si>
  <si>
    <t>18k</t>
  </si>
  <si>
    <t>37.3%</t>
  </si>
  <si>
    <t>37.4%</t>
  </si>
  <si>
    <t>14.6%</t>
  </si>
  <si>
    <t>2.4%</t>
  </si>
  <si>
    <t>commons-pool</t>
  </si>
  <si>
    <t>6.5k</t>
  </si>
  <si>
    <t>87.8%</t>
  </si>
  <si>
    <t>87.9%</t>
  </si>
  <si>
    <t>89.3%</t>
  </si>
  <si>
    <t>1.1%</t>
  </si>
  <si>
    <t>commons-text</t>
  </si>
  <si>
    <t>98.8%</t>
  </si>
  <si>
    <t>96.6%</t>
  </si>
  <si>
    <t>99.9%</t>
  </si>
  <si>
    <t>6.9%</t>
  </si>
  <si>
    <t>6.1%</t>
  </si>
  <si>
    <t>Media:</t>
  </si>
  <si>
    <t>78 min</t>
  </si>
  <si>
    <t>Student projects</t>
  </si>
  <si>
    <t>P1</t>
  </si>
  <si>
    <t>2k</t>
  </si>
  <si>
    <t>21.4%</t>
  </si>
  <si>
    <t>16.6%</t>
  </si>
  <si>
    <t>P2</t>
  </si>
  <si>
    <t>2.1k</t>
  </si>
  <si>
    <t>5.4%</t>
  </si>
  <si>
    <t>2.8%</t>
  </si>
  <si>
    <t>P3</t>
  </si>
  <si>
    <t>2.3k</t>
  </si>
  <si>
    <t>29.2%</t>
  </si>
  <si>
    <t>25.4%</t>
  </si>
  <si>
    <t>P4</t>
  </si>
  <si>
    <t>1.8k</t>
  </si>
  <si>
    <t>7.4%</t>
  </si>
  <si>
    <t>4.7%</t>
  </si>
  <si>
    <t>P5</t>
  </si>
  <si>
    <t>2.7k</t>
  </si>
  <si>
    <t>3.8%</t>
  </si>
  <si>
    <t>3.6%</t>
  </si>
  <si>
    <t>P6</t>
  </si>
  <si>
    <t>1.7k</t>
  </si>
  <si>
    <t>P7</t>
  </si>
  <si>
    <t>1.9k</t>
  </si>
  <si>
    <t>0.0%</t>
  </si>
  <si>
    <t>P8</t>
  </si>
  <si>
    <t>1.4k</t>
  </si>
  <si>
    <t>8.9%</t>
  </si>
  <si>
    <t>8.4%</t>
  </si>
  <si>
    <t>P9</t>
  </si>
  <si>
    <t>1.5k</t>
  </si>
  <si>
    <t>21.7%</t>
  </si>
  <si>
    <t>19.8%</t>
  </si>
  <si>
    <t>P10</t>
  </si>
  <si>
    <t>4.2%</t>
  </si>
  <si>
    <t>P11</t>
  </si>
  <si>
    <t>12.3%</t>
  </si>
  <si>
    <t>11.9%</t>
  </si>
  <si>
    <t>P12</t>
  </si>
  <si>
    <t>1.1k</t>
  </si>
  <si>
    <t>8.8%</t>
  </si>
  <si>
    <t>8.7%</t>
  </si>
  <si>
    <t>25,6 minuti</t>
  </si>
  <si>
    <t xml:space="preserve">max: </t>
  </si>
  <si>
    <t>Averages:</t>
  </si>
  <si>
    <t>Issues</t>
  </si>
  <si>
    <t>issues / LOC</t>
  </si>
  <si>
    <t>Average:</t>
  </si>
  <si>
    <t>Final issues (reduction)</t>
  </si>
  <si>
    <t>Percentages</t>
  </si>
  <si>
    <t>Colonna 1</t>
  </si>
  <si>
    <t>Column 5</t>
  </si>
  <si>
    <t>3 (-40%)</t>
  </si>
  <si>
    <t>10 (-81.13%)</t>
  </si>
  <si>
    <t>971 (-27.75%)</t>
  </si>
  <si>
    <t>-27.75%</t>
  </si>
  <si>
    <t>43 (-20.37%)</t>
  </si>
  <si>
    <t>765 (-10.51%)</t>
  </si>
  <si>
    <t>-10.51%</t>
  </si>
  <si>
    <t>28 (-54.84%)</t>
  </si>
  <si>
    <t>179 (-28.97%)</t>
  </si>
  <si>
    <t>-28.97%</t>
  </si>
  <si>
    <t>23 (-78.90%)</t>
  </si>
  <si>
    <t>176 (-49.26%)</t>
  </si>
  <si>
    <t>-49.26%</t>
  </si>
  <si>
    <t>9 (-71.88%)</t>
  </si>
  <si>
    <t>548 (0%)</t>
  </si>
  <si>
    <t>97 (-22.38%)</t>
  </si>
  <si>
    <t>-22.38%</t>
  </si>
  <si>
    <t>13 (-64.86%)</t>
  </si>
  <si>
    <t>-64.86%</t>
  </si>
  <si>
    <t>1878 (0%)</t>
  </si>
  <si>
    <t>137 (-32.51%)</t>
  </si>
  <si>
    <t>-32.51%</t>
  </si>
  <si>
    <t>84 (-25.66%)</t>
  </si>
  <si>
    <t>-25.66%</t>
  </si>
  <si>
    <t>312 (-24.32%)</t>
  </si>
  <si>
    <t>-24.32%</t>
  </si>
  <si>
    <t>Final Duplications (Absolute Variation)</t>
  </si>
  <si>
    <t>**spring-petclinic**</t>
  </si>
  <si>
    <t>0% (0%)</t>
  </si>
  <si>
    <t>Colonna 5</t>
  </si>
  <si>
    <t>**commons-compress**</t>
  </si>
  <si>
    <t>1.4% (-0.1%)</t>
  </si>
  <si>
    <t>16.6% (-4.8%)</t>
  </si>
  <si>
    <t>**commons-lang**</t>
  </si>
  <si>
    <t>1.2% (-0.1%)</t>
  </si>
  <si>
    <t>2.8% (-2.6%)</t>
  </si>
  <si>
    <t>**commons-beanutils**</t>
  </si>
  <si>
    <t>1.4% (0%)</t>
  </si>
  <si>
    <t>25.4% (-3.8%)</t>
  </si>
  <si>
    <t>**commons-codec**</t>
  </si>
  <si>
    <t>4.7% (-2.7%)</t>
  </si>
  <si>
    <t>**commons-configuration**</t>
  </si>
  <si>
    <t>0.1% (0%)</t>
  </si>
  <si>
    <t>3.6% (-0.2%)</t>
  </si>
  <si>
    <t>**commons-dbcp**</t>
  </si>
  <si>
    <t>0.2% (0%)</t>
  </si>
  <si>
    <t>**commons-dbutils**</t>
  </si>
  <si>
    <t>**commons-math**</t>
  </si>
  <si>
    <t>2.7% (0%)</t>
  </si>
  <si>
    <t>0.5%</t>
  </si>
  <si>
    <t>**commons-net**</t>
  </si>
  <si>
    <t>2.4% (0%)</t>
  </si>
  <si>
    <t>1.9%</t>
  </si>
  <si>
    <t>**commons-pool**</t>
  </si>
  <si>
    <t>1.1% (0%)</t>
  </si>
  <si>
    <t>**commons-text**</t>
  </si>
  <si>
    <t>6.1% (-0.8%)</t>
  </si>
  <si>
    <t>0.4%</t>
  </si>
  <si>
    <t>Final coverage (absolute change)</t>
  </si>
  <si>
    <t>91.9% (0.0%)</t>
  </si>
  <si>
    <t>84.2% (-0.4%)</t>
  </si>
  <si>
    <t>94.9% (-0.4%)</t>
  </si>
  <si>
    <t>75.1% (+0.3%)</t>
  </si>
  <si>
    <t>94.7% (0.0%)</t>
  </si>
  <si>
    <t>91.1% (0.0%)</t>
  </si>
  <si>
    <t>68.0% (-0.2%)</t>
  </si>
  <si>
    <t>71.0% (+0.2%)</t>
  </si>
  <si>
    <t>74.6% (0.0%)</t>
  </si>
  <si>
    <t>37.4% (+0.1%)</t>
  </si>
  <si>
    <t>87.9% (+0.1%)</t>
  </si>
  <si>
    <t>98.8% (0.0%)</t>
  </si>
  <si>
    <t>Nome</t>
  </si>
  <si>
    <t>Final test success (Absolute variation)</t>
  </si>
  <si>
    <t>100% (0.0%)</t>
  </si>
  <si>
    <t>99.1% (-0.9%)</t>
  </si>
  <si>
    <t>2% (0.0%)</t>
  </si>
  <si>
    <t>99.4% (-0.4%)</t>
  </si>
  <si>
    <t>99.8% (-0.2%)</t>
  </si>
  <si>
    <t>99.9% (-0.1%)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</si>
</sst>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.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Mono&quot;"/>
    </font>
    <font>
      <sz val="11.0"/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9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2" fontId="1" numFmtId="4" xfId="0" applyAlignment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3" fontId="2" numFmtId="0" xfId="0" applyAlignment="1" applyFill="1" applyFont="1">
      <alignment readingOrder="0" shrinkToFit="0" vertical="center" wrapText="0"/>
    </xf>
    <xf borderId="0" fillId="0" fontId="1" numFmtId="9" xfId="0" applyAlignment="1" applyFont="1" applyNumberFormat="1">
      <alignment horizontal="center" readingOrder="0" shrinkToFit="0" vertical="center" wrapText="0"/>
    </xf>
    <xf borderId="0" fillId="3" fontId="2" numFmtId="9" xfId="0" applyAlignment="1" applyFont="1" applyNumberFormat="1">
      <alignment shrinkToFit="0" vertical="center" wrapText="0"/>
    </xf>
    <xf borderId="0" fillId="4" fontId="3" numFmtId="0" xfId="0" applyAlignment="1" applyFill="1" applyFont="1">
      <alignment shrinkToFit="0" vertical="center" wrapText="0"/>
    </xf>
    <xf borderId="0" fillId="0" fontId="1" numFmtId="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7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1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50:E62" displayName="Tabella_1" name="Tabella_1" id="1">
  <tableColumns count="3">
    <tableColumn name="Name" id="1"/>
    <tableColumn name="Initial issues" id="2"/>
    <tableColumn name="Final issues (reduction)" id="3"/>
  </tableColumns>
  <tableStyleInfo name="Foglio1-style" showColumnStripes="0" showFirstColumn="1" showLastColumn="1" showRowStripes="1"/>
</table>
</file>

<file path=xl/tables/table2.xml><?xml version="1.0" encoding="utf-8"?>
<table xmlns="http://schemas.openxmlformats.org/spreadsheetml/2006/main" ref="F50:F72" displayName="Tabella_7" name="Tabella_7" id="2">
  <tableColumns count="1">
    <tableColumn name="Percentages" id="1"/>
  </tableColumns>
  <tableStyleInfo name="Foglio1-style 2" showColumnStripes="0" showFirstColumn="1" showLastColumn="1" showRowStripes="1"/>
</table>
</file>

<file path=xl/tables/table3.xml><?xml version="1.0" encoding="utf-8"?>
<table xmlns="http://schemas.openxmlformats.org/spreadsheetml/2006/main" ref="I50:M63" displayName="Tabella_2" name="Tabella_2" id="3">
  <tableColumns count="5">
    <tableColumn name="Name" id="1"/>
    <tableColumn name="Initial issues" id="2"/>
    <tableColumn name="Final issues (reduction)" id="3"/>
    <tableColumn name="Colonna 1" id="4"/>
    <tableColumn name="Column 5" id="5"/>
  </tableColumns>
  <tableStyleInfo name="Foglio1-style 3" showColumnStripes="0" showFirstColumn="1" showLastColumn="1" showRowStripes="1"/>
</table>
</file>

<file path=xl/tables/table4.xml><?xml version="1.0" encoding="utf-8"?>
<table xmlns="http://schemas.openxmlformats.org/spreadsheetml/2006/main" ref="C65:E77" displayName="Tabella_4" name="Tabella_4" id="4">
  <tableColumns count="3">
    <tableColumn name="Name" id="1"/>
    <tableColumn name="Initial duplications" id="2"/>
    <tableColumn name="Final Duplications (Absolute Variation)" id="3"/>
  </tableColumns>
  <tableStyleInfo name="Foglio1-style 4" showColumnStripes="0" showFirstColumn="1" showLastColumn="1" showRowStripes="1"/>
</table>
</file>

<file path=xl/tables/table5.xml><?xml version="1.0" encoding="utf-8"?>
<table xmlns="http://schemas.openxmlformats.org/spreadsheetml/2006/main" ref="I66:M78" displayName="Tabella_3" name="Tabella_3" id="5">
  <tableColumns count="5">
    <tableColumn name="Name" id="1"/>
    <tableColumn name="Initial duplications" id="2"/>
    <tableColumn name="Final Duplications (Absolute Variation)" id="3"/>
    <tableColumn name="Colonna 1" id="4"/>
    <tableColumn name="Colonna 5" id="5"/>
  </tableColumns>
  <tableStyleInfo name="Foglio1-style 5" showColumnStripes="0" showFirstColumn="1" showLastColumn="1" showRowStripes="1"/>
</table>
</file>

<file path=xl/tables/table6.xml><?xml version="1.0" encoding="utf-8"?>
<table xmlns="http://schemas.openxmlformats.org/spreadsheetml/2006/main" ref="C80:E92" displayName="Tabella_5" name="Tabella_5" id="6">
  <tableColumns count="3">
    <tableColumn name="Name" id="1"/>
    <tableColumn name="Initial coverage" id="2"/>
    <tableColumn name="Final coverage (absolute change)" id="3"/>
  </tableColumns>
  <tableStyleInfo name="Foglio1-style 6" showColumnStripes="0" showFirstColumn="1" showLastColumn="1" showRowStripes="1"/>
</table>
</file>

<file path=xl/tables/table7.xml><?xml version="1.0" encoding="utf-8"?>
<table xmlns="http://schemas.openxmlformats.org/spreadsheetml/2006/main" ref="C95:E107" displayName="Tabella_6" name="Tabella_6" id="7">
  <tableColumns count="3">
    <tableColumn name="Nome" id="1"/>
    <tableColumn name="Initial test success" id="2"/>
    <tableColumn name="Final test success (Absolute variation)" id="3"/>
  </tableColumns>
  <tableStyleInfo name="Foglio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26.25"/>
    <col customWidth="1" min="4" max="4" width="28.5"/>
    <col customWidth="1" min="5" max="5" width="37.63"/>
    <col customWidth="1" min="6" max="6" width="18.5"/>
    <col customWidth="1" min="7" max="7" width="35.25"/>
    <col customWidth="1" min="8" max="8" width="28.5"/>
    <col customWidth="1" min="9" max="9" width="37.63"/>
    <col customWidth="1" min="10" max="10" width="16.0"/>
    <col customWidth="1" min="11" max="11" width="16.88"/>
    <col customWidth="1" min="12" max="13" width="16.25"/>
    <col customWidth="1" min="14" max="14" width="15.5"/>
    <col customWidth="1" min="15" max="15" width="18.0"/>
  </cols>
  <sheetData>
    <row r="1">
      <c r="N1" s="1"/>
      <c r="O1" s="1"/>
    </row>
    <row r="2">
      <c r="N2" s="1"/>
      <c r="O2" s="1"/>
    </row>
    <row r="3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/>
      <c r="N3" s="3" t="s">
        <v>11</v>
      </c>
      <c r="O3" s="3" t="s">
        <v>12</v>
      </c>
    </row>
    <row r="4">
      <c r="B4" s="2" t="s">
        <v>13</v>
      </c>
      <c r="N4" s="1"/>
      <c r="O4" s="1"/>
    </row>
    <row r="5">
      <c r="B5" s="2" t="s">
        <v>14</v>
      </c>
      <c r="C5" s="3" t="s">
        <v>15</v>
      </c>
      <c r="D5" s="3">
        <v>5.0</v>
      </c>
      <c r="E5" s="3">
        <v>3.0</v>
      </c>
      <c r="F5" s="3" t="s">
        <v>16</v>
      </c>
      <c r="G5" s="3" t="s">
        <v>16</v>
      </c>
      <c r="H5" s="4">
        <v>1.0</v>
      </c>
      <c r="I5" s="4">
        <v>1.0</v>
      </c>
      <c r="J5" s="4">
        <v>1.0</v>
      </c>
      <c r="K5" s="4">
        <v>0.0</v>
      </c>
      <c r="L5" s="4">
        <v>0.0</v>
      </c>
      <c r="M5" s="4"/>
      <c r="N5" s="3">
        <v>0.0</v>
      </c>
      <c r="O5" s="3">
        <v>327.0</v>
      </c>
    </row>
    <row r="6">
      <c r="B6" s="2" t="s">
        <v>17</v>
      </c>
      <c r="C6" s="3" t="s">
        <v>18</v>
      </c>
      <c r="D6" s="3">
        <v>1344.0</v>
      </c>
      <c r="E6" s="3">
        <v>971.0</v>
      </c>
      <c r="F6" s="3" t="s">
        <v>19</v>
      </c>
      <c r="G6" s="3" t="s">
        <v>20</v>
      </c>
      <c r="H6" s="3" t="s">
        <v>21</v>
      </c>
      <c r="I6" s="4">
        <v>1.0</v>
      </c>
      <c r="J6" s="3" t="s">
        <v>22</v>
      </c>
      <c r="K6" s="3" t="s">
        <v>23</v>
      </c>
      <c r="L6" s="3" t="s">
        <v>24</v>
      </c>
      <c r="M6" s="3"/>
      <c r="N6" s="3">
        <v>3.0</v>
      </c>
      <c r="O6" s="3">
        <v>4951.0</v>
      </c>
    </row>
    <row r="7">
      <c r="B7" s="2" t="s">
        <v>25</v>
      </c>
      <c r="C7" s="3" t="s">
        <v>26</v>
      </c>
      <c r="D7" s="3">
        <v>856.0</v>
      </c>
      <c r="E7" s="3">
        <v>765.0</v>
      </c>
      <c r="F7" s="3" t="s">
        <v>27</v>
      </c>
      <c r="G7" s="3" t="s">
        <v>28</v>
      </c>
      <c r="H7" s="3" t="s">
        <v>29</v>
      </c>
      <c r="I7" s="4">
        <v>0.02</v>
      </c>
      <c r="J7" s="4">
        <v>0.02</v>
      </c>
      <c r="K7" s="3" t="s">
        <v>30</v>
      </c>
      <c r="L7" s="3" t="s">
        <v>31</v>
      </c>
      <c r="M7" s="3"/>
      <c r="N7" s="3">
        <v>6.0</v>
      </c>
      <c r="O7" s="3">
        <v>8423.0</v>
      </c>
    </row>
    <row r="8">
      <c r="B8" s="2" t="s">
        <v>32</v>
      </c>
      <c r="C8" s="3" t="s">
        <v>33</v>
      </c>
      <c r="D8" s="3">
        <v>252.0</v>
      </c>
      <c r="E8" s="3">
        <v>179.0</v>
      </c>
      <c r="F8" s="3" t="s">
        <v>34</v>
      </c>
      <c r="G8" s="3" t="s">
        <v>35</v>
      </c>
      <c r="H8" s="3" t="s">
        <v>36</v>
      </c>
      <c r="I8" s="3" t="s">
        <v>37</v>
      </c>
      <c r="J8" s="3" t="s">
        <v>38</v>
      </c>
      <c r="K8" s="3" t="s">
        <v>24</v>
      </c>
      <c r="L8" s="3" t="s">
        <v>24</v>
      </c>
      <c r="M8" s="3"/>
      <c r="N8" s="3">
        <v>2.0</v>
      </c>
      <c r="O8" s="3">
        <v>3302.0</v>
      </c>
    </row>
    <row r="9">
      <c r="B9" s="2" t="s">
        <v>39</v>
      </c>
      <c r="C9" s="3" t="s">
        <v>40</v>
      </c>
      <c r="D9" s="3">
        <v>346.0</v>
      </c>
      <c r="E9" s="3">
        <v>176.0</v>
      </c>
      <c r="F9" s="3" t="s">
        <v>41</v>
      </c>
      <c r="G9" s="3" t="s">
        <v>41</v>
      </c>
      <c r="H9" s="3" t="s">
        <v>42</v>
      </c>
      <c r="I9" s="4">
        <v>1.0</v>
      </c>
      <c r="J9" s="3" t="s">
        <v>37</v>
      </c>
      <c r="K9" s="3" t="s">
        <v>30</v>
      </c>
      <c r="L9" s="3" t="s">
        <v>31</v>
      </c>
      <c r="M9" s="3"/>
      <c r="N9" s="3">
        <v>4.0</v>
      </c>
      <c r="O9" s="3">
        <v>5839.0</v>
      </c>
    </row>
    <row r="10">
      <c r="A10" s="5"/>
      <c r="B10" s="6" t="s">
        <v>43</v>
      </c>
      <c r="C10" s="7" t="s">
        <v>44</v>
      </c>
      <c r="D10" s="7">
        <v>548.0</v>
      </c>
      <c r="E10" s="7">
        <v>548.0</v>
      </c>
      <c r="F10" s="7" t="s">
        <v>45</v>
      </c>
      <c r="G10" s="7" t="s">
        <v>45</v>
      </c>
      <c r="H10" s="7" t="s">
        <v>46</v>
      </c>
      <c r="I10" s="8">
        <v>1.0</v>
      </c>
      <c r="J10" s="8">
        <v>1.0</v>
      </c>
      <c r="K10" s="7" t="s">
        <v>47</v>
      </c>
      <c r="L10" s="7" t="s">
        <v>47</v>
      </c>
      <c r="M10" s="7"/>
      <c r="N10" s="7">
        <v>10.0</v>
      </c>
      <c r="O10" s="7">
        <v>6018.0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B11" s="2" t="s">
        <v>48</v>
      </c>
      <c r="C11" s="3" t="s">
        <v>49</v>
      </c>
      <c r="D11" s="3">
        <v>125.0</v>
      </c>
      <c r="E11" s="3">
        <v>97.0</v>
      </c>
      <c r="F11" s="3" t="s">
        <v>50</v>
      </c>
      <c r="G11" s="4">
        <v>0.68</v>
      </c>
      <c r="H11" s="3" t="s">
        <v>51</v>
      </c>
      <c r="I11" s="4">
        <v>1.0</v>
      </c>
      <c r="J11" s="4">
        <v>1.0</v>
      </c>
      <c r="K11" s="3" t="s">
        <v>52</v>
      </c>
      <c r="L11" s="3" t="s">
        <v>52</v>
      </c>
      <c r="M11" s="3"/>
      <c r="N11" s="3">
        <v>1.0</v>
      </c>
      <c r="O11" s="3">
        <v>2969.0</v>
      </c>
    </row>
    <row r="12">
      <c r="B12" s="2" t="s">
        <v>53</v>
      </c>
      <c r="C12" s="3" t="s">
        <v>54</v>
      </c>
      <c r="D12" s="3">
        <v>37.0</v>
      </c>
      <c r="E12" s="3">
        <v>13.0</v>
      </c>
      <c r="F12" s="3" t="s">
        <v>55</v>
      </c>
      <c r="G12" s="4">
        <v>0.71</v>
      </c>
      <c r="H12" s="3" t="s">
        <v>27</v>
      </c>
      <c r="I12" s="4">
        <v>1.0</v>
      </c>
      <c r="J12" s="3" t="s">
        <v>37</v>
      </c>
      <c r="K12" s="4">
        <v>0.0</v>
      </c>
      <c r="L12" s="4">
        <v>0.0</v>
      </c>
      <c r="M12" s="4"/>
      <c r="N12" s="3">
        <v>1.0</v>
      </c>
      <c r="O12" s="3">
        <v>2177.0</v>
      </c>
    </row>
    <row r="13">
      <c r="A13" s="5"/>
      <c r="B13" s="6" t="s">
        <v>56</v>
      </c>
      <c r="C13" s="7" t="s">
        <v>57</v>
      </c>
      <c r="D13" s="7">
        <v>1878.0</v>
      </c>
      <c r="E13" s="7">
        <v>1878.0</v>
      </c>
      <c r="F13" s="7" t="s">
        <v>58</v>
      </c>
      <c r="G13" s="7" t="s">
        <v>58</v>
      </c>
      <c r="H13" s="7" t="s">
        <v>46</v>
      </c>
      <c r="I13" s="8">
        <v>1.0</v>
      </c>
      <c r="J13" s="8">
        <v>1.0</v>
      </c>
      <c r="K13" s="7" t="s">
        <v>59</v>
      </c>
      <c r="L13" s="7" t="s">
        <v>59</v>
      </c>
      <c r="M13" s="7"/>
      <c r="N13" s="7">
        <v>10.0</v>
      </c>
      <c r="O13" s="7">
        <v>10058.0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B14" s="2" t="s">
        <v>60</v>
      </c>
      <c r="C14" s="3" t="s">
        <v>61</v>
      </c>
      <c r="D14" s="3">
        <v>203.0</v>
      </c>
      <c r="E14" s="3">
        <v>137.0</v>
      </c>
      <c r="F14" s="3" t="s">
        <v>62</v>
      </c>
      <c r="G14" s="3" t="s">
        <v>63</v>
      </c>
      <c r="H14" s="3" t="s">
        <v>64</v>
      </c>
      <c r="I14" s="4">
        <v>1.0</v>
      </c>
      <c r="J14" s="4">
        <v>1.0</v>
      </c>
      <c r="K14" s="3" t="s">
        <v>65</v>
      </c>
      <c r="L14" s="3" t="s">
        <v>65</v>
      </c>
      <c r="M14" s="3"/>
      <c r="N14" s="3">
        <v>1.0</v>
      </c>
      <c r="O14" s="3">
        <v>3432.0</v>
      </c>
    </row>
    <row r="15">
      <c r="B15" s="2" t="s">
        <v>66</v>
      </c>
      <c r="C15" s="3" t="s">
        <v>67</v>
      </c>
      <c r="D15" s="3">
        <v>113.0</v>
      </c>
      <c r="E15" s="3">
        <v>84.0</v>
      </c>
      <c r="F15" s="3" t="s">
        <v>68</v>
      </c>
      <c r="G15" s="3" t="s">
        <v>69</v>
      </c>
      <c r="H15" s="3" t="s">
        <v>70</v>
      </c>
      <c r="I15" s="4">
        <v>1.0</v>
      </c>
      <c r="J15" s="4">
        <v>1.0</v>
      </c>
      <c r="K15" s="3" t="s">
        <v>71</v>
      </c>
      <c r="L15" s="3" t="s">
        <v>71</v>
      </c>
      <c r="M15" s="3"/>
      <c r="N15" s="3">
        <v>2.0</v>
      </c>
      <c r="O15" s="3">
        <v>3497.0</v>
      </c>
    </row>
    <row r="16">
      <c r="B16" s="2" t="s">
        <v>72</v>
      </c>
      <c r="C16" s="3" t="s">
        <v>40</v>
      </c>
      <c r="D16" s="3">
        <v>412.0</v>
      </c>
      <c r="E16" s="3">
        <v>312.0</v>
      </c>
      <c r="F16" s="3" t="s">
        <v>73</v>
      </c>
      <c r="G16" s="3" t="s">
        <v>73</v>
      </c>
      <c r="H16" s="3" t="s">
        <v>74</v>
      </c>
      <c r="I16" s="4">
        <v>1.0</v>
      </c>
      <c r="J16" s="3" t="s">
        <v>75</v>
      </c>
      <c r="K16" s="3" t="s">
        <v>76</v>
      </c>
      <c r="L16" s="3" t="s">
        <v>77</v>
      </c>
      <c r="M16" s="3"/>
      <c r="N16" s="3">
        <v>4.0</v>
      </c>
      <c r="O16" s="3">
        <v>5198.0</v>
      </c>
    </row>
    <row r="17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" t="s">
        <v>78</v>
      </c>
      <c r="O17" s="3" t="s">
        <v>79</v>
      </c>
    </row>
    <row r="18">
      <c r="B18" s="2" t="s">
        <v>80</v>
      </c>
      <c r="N18" s="1"/>
      <c r="O18" s="1"/>
    </row>
    <row r="19">
      <c r="B19" s="2" t="s">
        <v>81</v>
      </c>
      <c r="C19" s="3" t="s">
        <v>82</v>
      </c>
      <c r="D19" s="3">
        <v>53.0</v>
      </c>
      <c r="E19" s="3">
        <v>10.0</v>
      </c>
      <c r="F19" s="3" t="s">
        <v>46</v>
      </c>
      <c r="G19" s="3" t="s">
        <v>46</v>
      </c>
      <c r="H19" s="3" t="s">
        <v>46</v>
      </c>
      <c r="I19" s="3" t="s">
        <v>46</v>
      </c>
      <c r="J19" s="3" t="s">
        <v>46</v>
      </c>
      <c r="K19" s="3" t="s">
        <v>83</v>
      </c>
      <c r="L19" s="3" t="s">
        <v>84</v>
      </c>
      <c r="M19" s="3"/>
      <c r="N19" s="3">
        <v>1.0</v>
      </c>
      <c r="O19" s="3">
        <v>1672.0</v>
      </c>
    </row>
    <row r="20">
      <c r="B20" s="2" t="s">
        <v>85</v>
      </c>
      <c r="C20" s="3" t="s">
        <v>86</v>
      </c>
      <c r="D20" s="3">
        <v>54.0</v>
      </c>
      <c r="E20" s="3">
        <v>43.0</v>
      </c>
      <c r="F20" s="3" t="s">
        <v>46</v>
      </c>
      <c r="G20" s="3" t="s">
        <v>46</v>
      </c>
      <c r="H20" s="3" t="s">
        <v>46</v>
      </c>
      <c r="I20" s="3" t="s">
        <v>46</v>
      </c>
      <c r="J20" s="3" t="s">
        <v>46</v>
      </c>
      <c r="K20" s="3" t="s">
        <v>87</v>
      </c>
      <c r="L20" s="3" t="s">
        <v>88</v>
      </c>
      <c r="M20" s="3"/>
      <c r="N20" s="3">
        <v>7.0</v>
      </c>
      <c r="O20" s="3">
        <v>2095.0</v>
      </c>
    </row>
    <row r="21">
      <c r="B21" s="2" t="s">
        <v>89</v>
      </c>
      <c r="C21" s="3" t="s">
        <v>90</v>
      </c>
      <c r="D21" s="3">
        <v>62.0</v>
      </c>
      <c r="E21" s="3">
        <v>28.0</v>
      </c>
      <c r="F21" s="3" t="s">
        <v>46</v>
      </c>
      <c r="G21" s="3" t="s">
        <v>46</v>
      </c>
      <c r="H21" s="3" t="s">
        <v>46</v>
      </c>
      <c r="I21" s="3" t="s">
        <v>46</v>
      </c>
      <c r="J21" s="3" t="s">
        <v>46</v>
      </c>
      <c r="K21" s="3" t="s">
        <v>91</v>
      </c>
      <c r="L21" s="3" t="s">
        <v>92</v>
      </c>
      <c r="M21" s="3"/>
      <c r="N21" s="3">
        <v>1.0</v>
      </c>
      <c r="O21" s="3">
        <v>1377.0</v>
      </c>
    </row>
    <row r="22">
      <c r="B22" s="2" t="s">
        <v>93</v>
      </c>
      <c r="C22" s="3" t="s">
        <v>94</v>
      </c>
      <c r="D22" s="3">
        <v>109.0</v>
      </c>
      <c r="E22" s="3">
        <v>23.0</v>
      </c>
      <c r="F22" s="3" t="s">
        <v>46</v>
      </c>
      <c r="G22" s="3" t="s">
        <v>46</v>
      </c>
      <c r="H22" s="3" t="s">
        <v>46</v>
      </c>
      <c r="I22" s="3" t="s">
        <v>46</v>
      </c>
      <c r="J22" s="3" t="s">
        <v>46</v>
      </c>
      <c r="K22" s="3" t="s">
        <v>95</v>
      </c>
      <c r="L22" s="3" t="s">
        <v>96</v>
      </c>
      <c r="M22" s="3"/>
      <c r="N22" s="3">
        <v>1.0</v>
      </c>
      <c r="O22" s="3">
        <v>1582.0</v>
      </c>
    </row>
    <row r="23">
      <c r="B23" s="2" t="s">
        <v>97</v>
      </c>
      <c r="C23" s="3" t="s">
        <v>98</v>
      </c>
      <c r="D23" s="3">
        <v>32.0</v>
      </c>
      <c r="E23" s="3">
        <v>9.0</v>
      </c>
      <c r="F23" s="3" t="s">
        <v>46</v>
      </c>
      <c r="G23" s="3" t="s">
        <v>46</v>
      </c>
      <c r="H23" s="3" t="s">
        <v>46</v>
      </c>
      <c r="I23" s="3" t="s">
        <v>46</v>
      </c>
      <c r="J23" s="3" t="s">
        <v>46</v>
      </c>
      <c r="K23" s="3" t="s">
        <v>99</v>
      </c>
      <c r="L23" s="3" t="s">
        <v>100</v>
      </c>
      <c r="M23" s="3"/>
      <c r="N23" s="3">
        <v>2.0</v>
      </c>
      <c r="O23" s="3">
        <v>1492.0</v>
      </c>
    </row>
    <row r="24">
      <c r="B24" s="2" t="s">
        <v>101</v>
      </c>
      <c r="C24" s="3" t="s">
        <v>102</v>
      </c>
      <c r="D24" s="3">
        <v>50.0</v>
      </c>
      <c r="E24" s="3">
        <v>3.0</v>
      </c>
      <c r="F24" s="3" t="s">
        <v>46</v>
      </c>
      <c r="G24" s="3" t="s">
        <v>46</v>
      </c>
      <c r="H24" s="3" t="s">
        <v>46</v>
      </c>
      <c r="I24" s="3" t="s">
        <v>46</v>
      </c>
      <c r="J24" s="3" t="s">
        <v>46</v>
      </c>
      <c r="K24" s="3" t="s">
        <v>30</v>
      </c>
      <c r="L24" s="3" t="s">
        <v>31</v>
      </c>
      <c r="M24" s="3"/>
      <c r="N24" s="3">
        <v>0.0</v>
      </c>
      <c r="O24" s="3">
        <v>778.0</v>
      </c>
    </row>
    <row r="25">
      <c r="B25" s="2" t="s">
        <v>103</v>
      </c>
      <c r="C25" s="3" t="s">
        <v>104</v>
      </c>
      <c r="D25" s="3">
        <v>62.0</v>
      </c>
      <c r="E25" s="3">
        <v>16.0</v>
      </c>
      <c r="F25" s="3" t="s">
        <v>46</v>
      </c>
      <c r="G25" s="3" t="s">
        <v>46</v>
      </c>
      <c r="H25" s="3" t="s">
        <v>46</v>
      </c>
      <c r="I25" s="3" t="s">
        <v>46</v>
      </c>
      <c r="J25" s="3" t="s">
        <v>46</v>
      </c>
      <c r="K25" s="3" t="s">
        <v>105</v>
      </c>
      <c r="L25" s="3" t="s">
        <v>105</v>
      </c>
      <c r="M25" s="3"/>
      <c r="N25" s="3">
        <v>1.0</v>
      </c>
      <c r="O25" s="3">
        <v>1313.0</v>
      </c>
    </row>
    <row r="26">
      <c r="B26" s="2" t="s">
        <v>106</v>
      </c>
      <c r="C26" s="3" t="s">
        <v>107</v>
      </c>
      <c r="D26" s="3">
        <v>36.0</v>
      </c>
      <c r="E26" s="3">
        <v>1.0</v>
      </c>
      <c r="F26" s="3" t="s">
        <v>46</v>
      </c>
      <c r="G26" s="3" t="s">
        <v>46</v>
      </c>
      <c r="H26" s="3" t="s">
        <v>46</v>
      </c>
      <c r="I26" s="3" t="s">
        <v>46</v>
      </c>
      <c r="J26" s="3" t="s">
        <v>46</v>
      </c>
      <c r="K26" s="3" t="s">
        <v>108</v>
      </c>
      <c r="L26" s="3" t="s">
        <v>109</v>
      </c>
      <c r="M26" s="3"/>
      <c r="N26" s="3">
        <v>0.0</v>
      </c>
      <c r="O26" s="3">
        <v>1436.0</v>
      </c>
    </row>
    <row r="27">
      <c r="B27" s="2" t="s">
        <v>110</v>
      </c>
      <c r="C27" s="3" t="s">
        <v>111</v>
      </c>
      <c r="D27" s="3">
        <v>28.0</v>
      </c>
      <c r="E27" s="3">
        <v>26.0</v>
      </c>
      <c r="F27" s="3" t="s">
        <v>46</v>
      </c>
      <c r="G27" s="3" t="s">
        <v>46</v>
      </c>
      <c r="H27" s="3" t="s">
        <v>46</v>
      </c>
      <c r="I27" s="3" t="s">
        <v>46</v>
      </c>
      <c r="J27" s="3" t="s">
        <v>46</v>
      </c>
      <c r="K27" s="3" t="s">
        <v>112</v>
      </c>
      <c r="L27" s="3" t="s">
        <v>113</v>
      </c>
      <c r="M27" s="3"/>
      <c r="N27" s="3">
        <v>3.0</v>
      </c>
      <c r="O27" s="3">
        <v>1519.0</v>
      </c>
    </row>
    <row r="28">
      <c r="B28" s="2" t="s">
        <v>114</v>
      </c>
      <c r="C28" s="3" t="s">
        <v>94</v>
      </c>
      <c r="D28" s="3">
        <v>50.0</v>
      </c>
      <c r="E28" s="3">
        <v>7.0</v>
      </c>
      <c r="F28" s="3" t="s">
        <v>46</v>
      </c>
      <c r="G28" s="3" t="s">
        <v>46</v>
      </c>
      <c r="H28" s="3" t="s">
        <v>46</v>
      </c>
      <c r="I28" s="3" t="s">
        <v>46</v>
      </c>
      <c r="J28" s="3" t="s">
        <v>46</v>
      </c>
      <c r="K28" s="3" t="s">
        <v>115</v>
      </c>
      <c r="L28" s="3" t="s">
        <v>115</v>
      </c>
      <c r="M28" s="3"/>
      <c r="N28" s="3">
        <v>2.0</v>
      </c>
      <c r="O28" s="3">
        <v>1644.0</v>
      </c>
    </row>
    <row r="29">
      <c r="B29" s="2" t="s">
        <v>116</v>
      </c>
      <c r="C29" s="3" t="s">
        <v>102</v>
      </c>
      <c r="D29" s="3">
        <v>36.0</v>
      </c>
      <c r="E29" s="3">
        <v>9.0</v>
      </c>
      <c r="F29" s="3" t="s">
        <v>46</v>
      </c>
      <c r="G29" s="3" t="s">
        <v>46</v>
      </c>
      <c r="H29" s="3" t="s">
        <v>46</v>
      </c>
      <c r="I29" s="3" t="s">
        <v>46</v>
      </c>
      <c r="J29" s="3" t="s">
        <v>46</v>
      </c>
      <c r="K29" s="3" t="s">
        <v>117</v>
      </c>
      <c r="L29" s="3" t="s">
        <v>118</v>
      </c>
      <c r="M29" s="3"/>
      <c r="N29" s="3">
        <v>1.0</v>
      </c>
      <c r="O29" s="3">
        <v>1904.0</v>
      </c>
    </row>
    <row r="30">
      <c r="B30" s="2" t="s">
        <v>119</v>
      </c>
      <c r="C30" s="3" t="s">
        <v>120</v>
      </c>
      <c r="D30" s="3">
        <v>39.0</v>
      </c>
      <c r="E30" s="3">
        <v>22.0</v>
      </c>
      <c r="F30" s="3" t="s">
        <v>46</v>
      </c>
      <c r="G30" s="3" t="s">
        <v>46</v>
      </c>
      <c r="H30" s="3" t="s">
        <v>46</v>
      </c>
      <c r="I30" s="3" t="s">
        <v>46</v>
      </c>
      <c r="J30" s="3" t="s">
        <v>46</v>
      </c>
      <c r="K30" s="3" t="s">
        <v>121</v>
      </c>
      <c r="L30" s="3" t="s">
        <v>122</v>
      </c>
      <c r="M30" s="3"/>
      <c r="N30" s="3">
        <v>5.0</v>
      </c>
      <c r="O30" s="3">
        <v>1683.0</v>
      </c>
    </row>
    <row r="31">
      <c r="D31" s="3"/>
      <c r="E31" s="3"/>
      <c r="N31" s="3" t="s">
        <v>78</v>
      </c>
      <c r="O31" s="3" t="s">
        <v>123</v>
      </c>
    </row>
    <row r="32">
      <c r="D32" s="3"/>
      <c r="E32" s="3"/>
      <c r="N32" s="3" t="s">
        <v>124</v>
      </c>
      <c r="O32" s="1">
        <f>MAX(O4:O30)</f>
        <v>10058</v>
      </c>
    </row>
    <row r="34">
      <c r="B34" s="2" t="s">
        <v>125</v>
      </c>
      <c r="C34" s="3" t="s">
        <v>1</v>
      </c>
      <c r="D34" s="3" t="s">
        <v>126</v>
      </c>
      <c r="E34" s="3" t="s">
        <v>127</v>
      </c>
      <c r="F34" s="1"/>
      <c r="H34" s="3" t="s">
        <v>1</v>
      </c>
      <c r="I34" s="3" t="s">
        <v>126</v>
      </c>
      <c r="J34" s="3" t="s">
        <v>127</v>
      </c>
      <c r="K34" s="1"/>
      <c r="L34" s="1"/>
      <c r="M34" s="1"/>
      <c r="N34" s="1"/>
      <c r="O34" s="1"/>
    </row>
    <row r="35">
      <c r="C35" s="9">
        <v>1300.0</v>
      </c>
      <c r="D35" s="3">
        <v>5.0</v>
      </c>
      <c r="E35" s="1">
        <f t="shared" ref="E35:E46" si="1">D35/C35</f>
        <v>0.003846153846</v>
      </c>
      <c r="F35" s="1"/>
      <c r="H35" s="3">
        <v>2000.0</v>
      </c>
      <c r="I35" s="3">
        <v>53.0</v>
      </c>
      <c r="J35" s="1">
        <f t="shared" ref="J35:J46" si="2">I35/H35</f>
        <v>0.0265</v>
      </c>
      <c r="K35" s="1"/>
      <c r="L35" s="1"/>
      <c r="M35" s="1"/>
      <c r="N35" s="1"/>
      <c r="O35" s="1"/>
    </row>
    <row r="36">
      <c r="C36" s="9">
        <v>45000.0</v>
      </c>
      <c r="D36" s="3">
        <v>1344.0</v>
      </c>
      <c r="E36" s="1">
        <f t="shared" si="1"/>
        <v>0.02986666667</v>
      </c>
      <c r="F36" s="1"/>
      <c r="H36" s="3">
        <v>2100.0</v>
      </c>
      <c r="I36" s="3">
        <v>54.0</v>
      </c>
      <c r="J36" s="1">
        <f t="shared" si="2"/>
        <v>0.02571428571</v>
      </c>
      <c r="K36" s="1"/>
      <c r="L36" s="1"/>
      <c r="M36" s="1"/>
      <c r="N36" s="1"/>
      <c r="O36" s="1"/>
    </row>
    <row r="37">
      <c r="C37" s="9">
        <v>33000.0</v>
      </c>
      <c r="D37" s="3">
        <v>856.0</v>
      </c>
      <c r="E37" s="1">
        <f t="shared" si="1"/>
        <v>0.02593939394</v>
      </c>
      <c r="F37" s="1"/>
      <c r="H37" s="3">
        <v>2300.0</v>
      </c>
      <c r="I37" s="3">
        <v>62.0</v>
      </c>
      <c r="J37" s="1">
        <f t="shared" si="2"/>
        <v>0.02695652174</v>
      </c>
      <c r="K37" s="1"/>
      <c r="L37" s="1"/>
      <c r="M37" s="1"/>
      <c r="N37" s="1"/>
      <c r="O37" s="1"/>
    </row>
    <row r="38">
      <c r="C38" s="9">
        <v>9100.0</v>
      </c>
      <c r="D38" s="3">
        <v>252.0</v>
      </c>
      <c r="E38" s="1">
        <f t="shared" si="1"/>
        <v>0.02769230769</v>
      </c>
      <c r="F38" s="1"/>
      <c r="H38" s="3">
        <v>1800.0</v>
      </c>
      <c r="I38" s="3">
        <v>109.0</v>
      </c>
      <c r="J38" s="1">
        <f t="shared" si="2"/>
        <v>0.06055555556</v>
      </c>
      <c r="K38" s="1"/>
      <c r="L38" s="1"/>
      <c r="M38" s="1"/>
      <c r="N38" s="1"/>
      <c r="O38" s="1"/>
    </row>
    <row r="39">
      <c r="C39" s="9">
        <v>11000.0</v>
      </c>
      <c r="D39" s="3">
        <v>346.0</v>
      </c>
      <c r="E39" s="1">
        <f t="shared" si="1"/>
        <v>0.03145454545</v>
      </c>
      <c r="F39" s="1"/>
      <c r="H39" s="3">
        <v>2700.0</v>
      </c>
      <c r="I39" s="3">
        <v>32.0</v>
      </c>
      <c r="J39" s="1">
        <f t="shared" si="2"/>
        <v>0.01185185185</v>
      </c>
      <c r="K39" s="1"/>
      <c r="L39" s="1"/>
      <c r="M39" s="1"/>
      <c r="N39" s="1"/>
      <c r="O39" s="1"/>
    </row>
    <row r="40">
      <c r="C40" s="10">
        <v>21000.0</v>
      </c>
      <c r="D40" s="7">
        <v>548.0</v>
      </c>
      <c r="E40" s="1">
        <f t="shared" si="1"/>
        <v>0.0260952381</v>
      </c>
      <c r="F40" s="1"/>
      <c r="H40" s="3">
        <v>1700.0</v>
      </c>
      <c r="I40" s="3">
        <v>50.0</v>
      </c>
      <c r="J40" s="1">
        <f t="shared" si="2"/>
        <v>0.02941176471</v>
      </c>
      <c r="K40" s="1"/>
      <c r="L40" s="1"/>
      <c r="M40" s="1"/>
      <c r="N40" s="1"/>
      <c r="O40" s="1"/>
    </row>
    <row r="41">
      <c r="C41" s="9">
        <v>14000.0</v>
      </c>
      <c r="D41" s="3">
        <v>125.0</v>
      </c>
      <c r="E41" s="1">
        <f t="shared" si="1"/>
        <v>0.008928571429</v>
      </c>
      <c r="F41" s="1"/>
      <c r="G41" s="1"/>
      <c r="H41" s="3">
        <v>1900.0</v>
      </c>
      <c r="I41" s="3">
        <v>62.0</v>
      </c>
      <c r="J41" s="1">
        <f t="shared" si="2"/>
        <v>0.03263157895</v>
      </c>
      <c r="K41" s="1"/>
      <c r="L41" s="1"/>
      <c r="M41" s="1"/>
      <c r="N41" s="1"/>
      <c r="O41" s="1"/>
    </row>
    <row r="42">
      <c r="C42" s="9">
        <v>3600.0</v>
      </c>
      <c r="D42" s="3">
        <v>37.0</v>
      </c>
      <c r="E42" s="1">
        <f t="shared" si="1"/>
        <v>0.01027777778</v>
      </c>
      <c r="F42" s="1"/>
      <c r="G42" s="1"/>
      <c r="H42" s="3">
        <v>1400.0</v>
      </c>
      <c r="I42" s="3">
        <v>36.0</v>
      </c>
      <c r="J42" s="1">
        <f t="shared" si="2"/>
        <v>0.02571428571</v>
      </c>
      <c r="K42" s="1"/>
      <c r="L42" s="1"/>
      <c r="M42" s="1"/>
      <c r="N42" s="1"/>
      <c r="O42" s="1"/>
    </row>
    <row r="43">
      <c r="C43" s="10">
        <v>70000.0</v>
      </c>
      <c r="D43" s="7">
        <v>1878.0</v>
      </c>
      <c r="E43" s="1">
        <f t="shared" si="1"/>
        <v>0.02682857143</v>
      </c>
      <c r="H43" s="3">
        <v>1500.0</v>
      </c>
      <c r="I43" s="3">
        <v>28.0</v>
      </c>
      <c r="J43" s="1">
        <f t="shared" si="2"/>
        <v>0.01866666667</v>
      </c>
      <c r="N43" s="1"/>
      <c r="O43" s="1"/>
    </row>
    <row r="44">
      <c r="C44" s="9">
        <v>18000.0</v>
      </c>
      <c r="D44" s="3">
        <v>203.0</v>
      </c>
      <c r="E44" s="1">
        <f t="shared" si="1"/>
        <v>0.01127777778</v>
      </c>
      <c r="H44" s="3">
        <v>1800.0</v>
      </c>
      <c r="I44" s="3">
        <v>50.0</v>
      </c>
      <c r="J44" s="1">
        <f t="shared" si="2"/>
        <v>0.02777777778</v>
      </c>
      <c r="N44" s="1"/>
      <c r="O44" s="1"/>
    </row>
    <row r="45">
      <c r="C45" s="9">
        <v>6500.0</v>
      </c>
      <c r="D45" s="3">
        <v>113.0</v>
      </c>
      <c r="E45" s="1">
        <f t="shared" si="1"/>
        <v>0.01738461538</v>
      </c>
      <c r="H45" s="3">
        <v>1700.0</v>
      </c>
      <c r="I45" s="3">
        <v>36.0</v>
      </c>
      <c r="J45" s="1">
        <f t="shared" si="2"/>
        <v>0.02117647059</v>
      </c>
      <c r="N45" s="1"/>
      <c r="O45" s="1"/>
    </row>
    <row r="46">
      <c r="C46" s="9">
        <v>11000.0</v>
      </c>
      <c r="D46" s="3">
        <v>412.0</v>
      </c>
      <c r="E46" s="1">
        <f t="shared" si="1"/>
        <v>0.03745454545</v>
      </c>
      <c r="H46" s="3">
        <v>1100.0</v>
      </c>
      <c r="I46" s="3">
        <v>39.0</v>
      </c>
      <c r="J46" s="1">
        <f t="shared" si="2"/>
        <v>0.03545454545</v>
      </c>
      <c r="N46" s="1"/>
      <c r="O46" s="1"/>
    </row>
    <row r="47">
      <c r="B47" s="2" t="s">
        <v>128</v>
      </c>
      <c r="E47" s="11">
        <f>AVERAGE(E35:E46)</f>
        <v>0.02142051375</v>
      </c>
      <c r="G47" s="3" t="s">
        <v>128</v>
      </c>
      <c r="H47" s="1"/>
      <c r="I47" s="1"/>
      <c r="J47" s="1">
        <f>AVERAGE(J35:J46)</f>
        <v>0.02853427539</v>
      </c>
      <c r="N47" s="1"/>
      <c r="O47" s="1"/>
    </row>
    <row r="48">
      <c r="N48" s="1"/>
      <c r="O48" s="1"/>
    </row>
    <row r="49">
      <c r="N49" s="1"/>
      <c r="O49" s="1"/>
    </row>
    <row r="50" ht="22.5" customHeight="1">
      <c r="C50" s="12" t="s">
        <v>0</v>
      </c>
      <c r="D50" s="13" t="s">
        <v>2</v>
      </c>
      <c r="E50" s="13" t="s">
        <v>129</v>
      </c>
      <c r="F50" s="14" t="s">
        <v>130</v>
      </c>
      <c r="I50" s="12" t="s">
        <v>0</v>
      </c>
      <c r="J50" s="13" t="s">
        <v>2</v>
      </c>
      <c r="K50" s="13" t="s">
        <v>129</v>
      </c>
      <c r="L50" s="15" t="s">
        <v>131</v>
      </c>
      <c r="M50" s="15" t="s">
        <v>132</v>
      </c>
      <c r="N50" s="1"/>
      <c r="O50" s="1"/>
    </row>
    <row r="51" ht="22.5" customHeight="1">
      <c r="C51" s="16" t="s">
        <v>14</v>
      </c>
      <c r="D51" s="17">
        <v>5.0</v>
      </c>
      <c r="E51" s="16" t="s">
        <v>133</v>
      </c>
      <c r="F51" s="18">
        <v>-0.4</v>
      </c>
      <c r="I51" s="19" t="s">
        <v>81</v>
      </c>
      <c r="J51" s="17">
        <v>53.0</v>
      </c>
      <c r="K51" s="16" t="s">
        <v>134</v>
      </c>
      <c r="L51" s="20">
        <v>0.8113</v>
      </c>
      <c r="M51" s="21"/>
      <c r="N51" s="1"/>
      <c r="O51" s="1"/>
    </row>
    <row r="52" ht="22.5" customHeight="1">
      <c r="C52" s="16" t="s">
        <v>17</v>
      </c>
      <c r="D52" s="17">
        <v>1344.0</v>
      </c>
      <c r="E52" s="16" t="s">
        <v>135</v>
      </c>
      <c r="F52" s="16" t="s">
        <v>136</v>
      </c>
      <c r="I52" s="19" t="s">
        <v>85</v>
      </c>
      <c r="J52" s="17">
        <v>54.0</v>
      </c>
      <c r="K52" s="16" t="s">
        <v>137</v>
      </c>
      <c r="L52" s="20">
        <v>0.2037</v>
      </c>
      <c r="M52" s="21"/>
      <c r="N52" s="1"/>
      <c r="O52" s="1"/>
    </row>
    <row r="53" ht="22.5" customHeight="1">
      <c r="C53" s="16" t="s">
        <v>25</v>
      </c>
      <c r="D53" s="17">
        <v>856.0</v>
      </c>
      <c r="E53" s="16" t="s">
        <v>138</v>
      </c>
      <c r="F53" s="16" t="s">
        <v>139</v>
      </c>
      <c r="I53" s="19" t="s">
        <v>89</v>
      </c>
      <c r="J53" s="17">
        <v>62.0</v>
      </c>
      <c r="K53" s="16" t="s">
        <v>140</v>
      </c>
      <c r="L53" s="20">
        <v>0.5484</v>
      </c>
      <c r="M53" s="21"/>
      <c r="N53" s="1"/>
      <c r="O53" s="1"/>
    </row>
    <row r="54" ht="22.5" customHeight="1">
      <c r="C54" s="16" t="s">
        <v>32</v>
      </c>
      <c r="D54" s="17">
        <v>252.0</v>
      </c>
      <c r="E54" s="16" t="s">
        <v>141</v>
      </c>
      <c r="F54" s="16" t="s">
        <v>142</v>
      </c>
      <c r="I54" s="19" t="s">
        <v>93</v>
      </c>
      <c r="J54" s="17">
        <v>109.0</v>
      </c>
      <c r="K54" s="16" t="s">
        <v>143</v>
      </c>
      <c r="L54" s="20">
        <v>0.789</v>
      </c>
      <c r="M54" s="21"/>
      <c r="N54" s="1"/>
      <c r="O54" s="1"/>
    </row>
    <row r="55" ht="22.5" customHeight="1">
      <c r="C55" s="16" t="s">
        <v>39</v>
      </c>
      <c r="D55" s="17">
        <v>346.0</v>
      </c>
      <c r="E55" s="16" t="s">
        <v>144</v>
      </c>
      <c r="F55" s="16" t="s">
        <v>145</v>
      </c>
      <c r="I55" s="19" t="s">
        <v>97</v>
      </c>
      <c r="J55" s="17">
        <v>32.0</v>
      </c>
      <c r="K55" s="16" t="s">
        <v>146</v>
      </c>
      <c r="L55" s="20">
        <v>0.7188</v>
      </c>
      <c r="M55" s="21"/>
      <c r="N55" s="1"/>
      <c r="O55" s="1"/>
    </row>
    <row r="56" ht="22.5" customHeight="1">
      <c r="C56" s="16" t="s">
        <v>43</v>
      </c>
      <c r="D56" s="17">
        <v>548.0</v>
      </c>
      <c r="E56" s="16" t="s">
        <v>147</v>
      </c>
      <c r="F56" s="18">
        <v>0.0</v>
      </c>
      <c r="I56" s="19" t="s">
        <v>101</v>
      </c>
      <c r="J56" s="22">
        <v>50.0</v>
      </c>
      <c r="K56" s="13">
        <v>3.0</v>
      </c>
      <c r="L56" s="23">
        <f t="shared" ref="L56:L62" si="3">1-DIVIDE(K56,J56)</f>
        <v>0.94</v>
      </c>
      <c r="M56" s="23"/>
      <c r="N56" s="1"/>
      <c r="O56" s="1"/>
    </row>
    <row r="57" ht="22.5" customHeight="1">
      <c r="C57" s="16" t="s">
        <v>48</v>
      </c>
      <c r="D57" s="17">
        <v>125.0</v>
      </c>
      <c r="E57" s="16" t="s">
        <v>148</v>
      </c>
      <c r="F57" s="16" t="s">
        <v>149</v>
      </c>
      <c r="I57" s="19" t="s">
        <v>103</v>
      </c>
      <c r="J57" s="22">
        <v>62.0</v>
      </c>
      <c r="K57" s="13">
        <v>16.0</v>
      </c>
      <c r="L57" s="23">
        <f t="shared" si="3"/>
        <v>0.7419354839</v>
      </c>
      <c r="M57" s="23"/>
      <c r="N57" s="1"/>
      <c r="O57" s="1"/>
    </row>
    <row r="58" ht="22.5" customHeight="1">
      <c r="C58" s="16" t="s">
        <v>53</v>
      </c>
      <c r="D58" s="17">
        <v>37.0</v>
      </c>
      <c r="E58" s="16" t="s">
        <v>150</v>
      </c>
      <c r="F58" s="16" t="s">
        <v>151</v>
      </c>
      <c r="I58" s="19" t="s">
        <v>106</v>
      </c>
      <c r="J58" s="22">
        <v>36.0</v>
      </c>
      <c r="K58" s="13">
        <v>1.0</v>
      </c>
      <c r="L58" s="23">
        <f t="shared" si="3"/>
        <v>0.9722222222</v>
      </c>
      <c r="M58" s="23"/>
      <c r="N58" s="1"/>
      <c r="O58" s="1"/>
    </row>
    <row r="59" ht="22.5" customHeight="1">
      <c r="C59" s="16" t="s">
        <v>56</v>
      </c>
      <c r="D59" s="17">
        <v>1878.0</v>
      </c>
      <c r="E59" s="16" t="s">
        <v>152</v>
      </c>
      <c r="F59" s="18">
        <v>0.0</v>
      </c>
      <c r="I59" s="19" t="s">
        <v>110</v>
      </c>
      <c r="J59" s="22">
        <v>28.0</v>
      </c>
      <c r="K59" s="13">
        <v>26.0</v>
      </c>
      <c r="L59" s="23">
        <f t="shared" si="3"/>
        <v>0.07142857143</v>
      </c>
      <c r="M59" s="23"/>
      <c r="N59" s="1"/>
      <c r="O59" s="1"/>
    </row>
    <row r="60" ht="22.5" customHeight="1">
      <c r="C60" s="16" t="s">
        <v>60</v>
      </c>
      <c r="D60" s="17">
        <v>203.0</v>
      </c>
      <c r="E60" s="16" t="s">
        <v>153</v>
      </c>
      <c r="F60" s="16" t="s">
        <v>154</v>
      </c>
      <c r="I60" s="19" t="s">
        <v>114</v>
      </c>
      <c r="J60" s="22">
        <v>50.0</v>
      </c>
      <c r="K60" s="13">
        <v>7.0</v>
      </c>
      <c r="L60" s="23">
        <f t="shared" si="3"/>
        <v>0.86</v>
      </c>
      <c r="M60" s="23"/>
      <c r="N60" s="1"/>
      <c r="O60" s="1"/>
    </row>
    <row r="61" ht="22.5" customHeight="1">
      <c r="C61" s="16" t="s">
        <v>66</v>
      </c>
      <c r="D61" s="17">
        <v>113.0</v>
      </c>
      <c r="E61" s="16" t="s">
        <v>155</v>
      </c>
      <c r="F61" s="16" t="s">
        <v>156</v>
      </c>
      <c r="I61" s="19" t="s">
        <v>116</v>
      </c>
      <c r="J61" s="22">
        <v>36.0</v>
      </c>
      <c r="K61" s="13">
        <v>9.0</v>
      </c>
      <c r="L61" s="23">
        <f t="shared" si="3"/>
        <v>0.75</v>
      </c>
      <c r="M61" s="23"/>
      <c r="N61" s="1"/>
      <c r="O61" s="1"/>
    </row>
    <row r="62" ht="22.5" customHeight="1">
      <c r="C62" s="16" t="s">
        <v>72</v>
      </c>
      <c r="D62" s="17">
        <v>412.0</v>
      </c>
      <c r="E62" s="16" t="s">
        <v>157</v>
      </c>
      <c r="F62" s="16" t="s">
        <v>158</v>
      </c>
      <c r="I62" s="19" t="s">
        <v>119</v>
      </c>
      <c r="J62" s="22">
        <v>39.0</v>
      </c>
      <c r="K62" s="13">
        <v>22.0</v>
      </c>
      <c r="L62" s="23">
        <f t="shared" si="3"/>
        <v>0.4358974359</v>
      </c>
      <c r="M62" s="23"/>
      <c r="N62" s="1"/>
      <c r="O62" s="1"/>
    </row>
    <row r="63" ht="22.5" customHeight="1">
      <c r="F63" s="16"/>
      <c r="I63" s="24" t="s">
        <v>78</v>
      </c>
      <c r="J63" s="25"/>
      <c r="K63" s="26"/>
      <c r="L63" s="23">
        <f>AVERAGE(L51:L62)</f>
        <v>0.6535569761</v>
      </c>
      <c r="M63" s="23"/>
      <c r="N63" s="1"/>
      <c r="O63" s="1"/>
    </row>
    <row r="64" ht="22.5" customHeight="1">
      <c r="F64" s="16"/>
      <c r="N64" s="1"/>
      <c r="O64" s="1"/>
    </row>
    <row r="65" ht="22.5" customHeight="1">
      <c r="C65" s="12" t="s">
        <v>0</v>
      </c>
      <c r="D65" s="14" t="s">
        <v>9</v>
      </c>
      <c r="E65" s="27" t="s">
        <v>159</v>
      </c>
      <c r="F65" s="16"/>
      <c r="N65" s="1"/>
      <c r="O65" s="1"/>
    </row>
    <row r="66" ht="22.5" customHeight="1">
      <c r="C66" s="16" t="s">
        <v>160</v>
      </c>
      <c r="D66" s="18">
        <v>0.0</v>
      </c>
      <c r="E66" s="28" t="s">
        <v>161</v>
      </c>
      <c r="F66" s="16"/>
      <c r="I66" s="12" t="s">
        <v>0</v>
      </c>
      <c r="J66" s="14" t="s">
        <v>9</v>
      </c>
      <c r="K66" s="27" t="s">
        <v>159</v>
      </c>
      <c r="L66" s="29" t="s">
        <v>131</v>
      </c>
      <c r="M66" s="29" t="s">
        <v>162</v>
      </c>
      <c r="N66" s="1"/>
      <c r="O66" s="1"/>
    </row>
    <row r="67" ht="22.5" customHeight="1">
      <c r="C67" s="16" t="s">
        <v>163</v>
      </c>
      <c r="D67" s="16" t="s">
        <v>23</v>
      </c>
      <c r="E67" s="28" t="s">
        <v>164</v>
      </c>
      <c r="F67" s="16"/>
      <c r="I67" s="19" t="s">
        <v>81</v>
      </c>
      <c r="J67" s="16" t="s">
        <v>83</v>
      </c>
      <c r="K67" s="28" t="s">
        <v>165</v>
      </c>
      <c r="L67" s="30"/>
      <c r="M67" s="30"/>
      <c r="N67" s="1"/>
      <c r="O67" s="1"/>
    </row>
    <row r="68" ht="22.5" customHeight="1">
      <c r="C68" s="16" t="s">
        <v>166</v>
      </c>
      <c r="D68" s="16" t="s">
        <v>30</v>
      </c>
      <c r="E68" s="28" t="s">
        <v>167</v>
      </c>
      <c r="F68" s="16"/>
      <c r="I68" s="19" t="s">
        <v>85</v>
      </c>
      <c r="J68" s="16" t="s">
        <v>87</v>
      </c>
      <c r="K68" s="28" t="s">
        <v>168</v>
      </c>
      <c r="L68" s="30"/>
      <c r="M68" s="30"/>
      <c r="N68" s="1"/>
      <c r="O68" s="1"/>
    </row>
    <row r="69" ht="22.5" customHeight="1">
      <c r="C69" s="16" t="s">
        <v>169</v>
      </c>
      <c r="D69" s="16" t="s">
        <v>24</v>
      </c>
      <c r="E69" s="28" t="s">
        <v>170</v>
      </c>
      <c r="F69" s="16"/>
      <c r="I69" s="19" t="s">
        <v>89</v>
      </c>
      <c r="J69" s="16" t="s">
        <v>91</v>
      </c>
      <c r="K69" s="28" t="s">
        <v>171</v>
      </c>
      <c r="L69" s="30"/>
      <c r="M69" s="30"/>
      <c r="N69" s="1"/>
      <c r="O69" s="1"/>
    </row>
    <row r="70" ht="22.5" customHeight="1">
      <c r="C70" s="16" t="s">
        <v>172</v>
      </c>
      <c r="D70" s="16" t="s">
        <v>30</v>
      </c>
      <c r="E70" s="28" t="s">
        <v>167</v>
      </c>
      <c r="F70" s="16"/>
      <c r="I70" s="19" t="s">
        <v>93</v>
      </c>
      <c r="J70" s="16" t="s">
        <v>95</v>
      </c>
      <c r="K70" s="28" t="s">
        <v>173</v>
      </c>
      <c r="L70" s="30"/>
      <c r="M70" s="30"/>
      <c r="N70" s="1"/>
      <c r="O70" s="1"/>
    </row>
    <row r="71" ht="22.5" customHeight="1">
      <c r="C71" s="16" t="s">
        <v>174</v>
      </c>
      <c r="D71" s="16" t="s">
        <v>47</v>
      </c>
      <c r="E71" s="28" t="s">
        <v>175</v>
      </c>
      <c r="F71" s="16"/>
      <c r="I71" s="19" t="s">
        <v>97</v>
      </c>
      <c r="J71" s="16" t="s">
        <v>99</v>
      </c>
      <c r="K71" s="28" t="s">
        <v>176</v>
      </c>
      <c r="L71" s="30"/>
      <c r="M71" s="30"/>
      <c r="N71" s="1"/>
      <c r="O71" s="1"/>
    </row>
    <row r="72" ht="22.5" customHeight="1">
      <c r="C72" s="16" t="s">
        <v>177</v>
      </c>
      <c r="D72" s="16" t="s">
        <v>52</v>
      </c>
      <c r="E72" s="28" t="s">
        <v>178</v>
      </c>
      <c r="F72" s="16"/>
      <c r="I72" s="19" t="s">
        <v>101</v>
      </c>
      <c r="J72" s="13" t="s">
        <v>30</v>
      </c>
      <c r="K72" s="13" t="s">
        <v>31</v>
      </c>
      <c r="L72" s="31" t="str">
        <f>CONCATENATE("0.",LEFT(J72,FIND(".",J72) - 1),RIGHT(J72,LEN(J72) - (FIND(".",J72) + 1)))</f>
        <v>0.1%</v>
      </c>
      <c r="M72" s="31"/>
      <c r="N72" s="1"/>
      <c r="O72" s="1"/>
    </row>
    <row r="73" ht="22.5" customHeight="1">
      <c r="C73" s="16" t="s">
        <v>179</v>
      </c>
      <c r="D73" s="18">
        <v>0.0</v>
      </c>
      <c r="E73" s="28" t="s">
        <v>161</v>
      </c>
      <c r="I73" s="19" t="s">
        <v>103</v>
      </c>
      <c r="J73" s="13" t="s">
        <v>105</v>
      </c>
      <c r="K73" s="13" t="s">
        <v>105</v>
      </c>
      <c r="L73" s="32">
        <v>0.0</v>
      </c>
      <c r="M73" s="33"/>
      <c r="N73" s="1"/>
      <c r="O73" s="1"/>
    </row>
    <row r="74" ht="22.5" customHeight="1">
      <c r="C74" s="16" t="s">
        <v>180</v>
      </c>
      <c r="D74" s="16" t="s">
        <v>59</v>
      </c>
      <c r="E74" s="28" t="s">
        <v>181</v>
      </c>
      <c r="I74" s="19" t="s">
        <v>106</v>
      </c>
      <c r="J74" s="13" t="s">
        <v>108</v>
      </c>
      <c r="K74" s="13" t="s">
        <v>109</v>
      </c>
      <c r="L74" s="26" t="s">
        <v>182</v>
      </c>
      <c r="M74" s="34"/>
      <c r="N74" s="1"/>
      <c r="O74" s="1"/>
    </row>
    <row r="75" ht="22.5" customHeight="1">
      <c r="C75" s="16" t="s">
        <v>183</v>
      </c>
      <c r="D75" s="16" t="s">
        <v>65</v>
      </c>
      <c r="E75" s="28" t="s">
        <v>184</v>
      </c>
      <c r="I75" s="19" t="s">
        <v>110</v>
      </c>
      <c r="J75" s="13" t="s">
        <v>112</v>
      </c>
      <c r="K75" s="13" t="s">
        <v>113</v>
      </c>
      <c r="L75" s="26" t="s">
        <v>185</v>
      </c>
      <c r="M75" s="26"/>
      <c r="N75" s="1"/>
      <c r="O75" s="1"/>
    </row>
    <row r="76" ht="22.5" customHeight="1">
      <c r="C76" s="16" t="s">
        <v>186</v>
      </c>
      <c r="D76" s="16" t="s">
        <v>71</v>
      </c>
      <c r="E76" s="28" t="s">
        <v>187</v>
      </c>
      <c r="I76" s="19" t="s">
        <v>114</v>
      </c>
      <c r="J76" s="13" t="s">
        <v>115</v>
      </c>
      <c r="K76" s="13" t="s">
        <v>115</v>
      </c>
      <c r="L76" s="35">
        <v>0.0</v>
      </c>
      <c r="M76" s="35"/>
      <c r="N76" s="1"/>
      <c r="O76" s="1"/>
    </row>
    <row r="77" ht="22.5" customHeight="1">
      <c r="C77" s="16" t="s">
        <v>188</v>
      </c>
      <c r="D77" s="16" t="s">
        <v>76</v>
      </c>
      <c r="E77" s="28" t="s">
        <v>189</v>
      </c>
      <c r="I77" s="19" t="s">
        <v>116</v>
      </c>
      <c r="J77" s="13" t="s">
        <v>117</v>
      </c>
      <c r="K77" s="13" t="s">
        <v>118</v>
      </c>
      <c r="L77" s="26" t="s">
        <v>190</v>
      </c>
      <c r="M77" s="26"/>
      <c r="N77" s="1"/>
      <c r="O77" s="1"/>
    </row>
    <row r="78" ht="22.5" customHeight="1">
      <c r="I78" s="19" t="s">
        <v>119</v>
      </c>
      <c r="J78" s="13" t="s">
        <v>121</v>
      </c>
      <c r="K78" s="13" t="s">
        <v>122</v>
      </c>
      <c r="L78" s="26" t="s">
        <v>47</v>
      </c>
      <c r="M78" s="26"/>
      <c r="N78" s="1"/>
      <c r="O78" s="1"/>
    </row>
    <row r="79">
      <c r="N79" s="1"/>
      <c r="O79" s="1"/>
    </row>
    <row r="80" ht="22.5" customHeight="1">
      <c r="C80" s="12" t="s">
        <v>0</v>
      </c>
      <c r="D80" s="14" t="s">
        <v>4</v>
      </c>
      <c r="E80" s="27" t="s">
        <v>191</v>
      </c>
      <c r="N80" s="1"/>
      <c r="O80" s="1"/>
    </row>
    <row r="81" ht="22.5" customHeight="1">
      <c r="C81" s="16" t="s">
        <v>160</v>
      </c>
      <c r="D81" s="16" t="s">
        <v>16</v>
      </c>
      <c r="E81" s="28" t="s">
        <v>192</v>
      </c>
      <c r="N81" s="1"/>
      <c r="O81" s="1"/>
    </row>
    <row r="82" ht="22.5" customHeight="1">
      <c r="C82" s="16" t="s">
        <v>163</v>
      </c>
      <c r="D82" s="16" t="s">
        <v>19</v>
      </c>
      <c r="E82" s="28" t="s">
        <v>193</v>
      </c>
      <c r="N82" s="1"/>
      <c r="O82" s="1"/>
    </row>
    <row r="83" ht="22.5" customHeight="1">
      <c r="C83" s="16" t="s">
        <v>166</v>
      </c>
      <c r="D83" s="16" t="s">
        <v>27</v>
      </c>
      <c r="E83" s="28" t="s">
        <v>194</v>
      </c>
      <c r="N83" s="1"/>
      <c r="O83" s="1"/>
    </row>
    <row r="84" ht="22.5" customHeight="1">
      <c r="C84" s="16" t="s">
        <v>169</v>
      </c>
      <c r="D84" s="16" t="s">
        <v>34</v>
      </c>
      <c r="E84" s="28" t="s">
        <v>195</v>
      </c>
      <c r="N84" s="1"/>
      <c r="O84" s="1"/>
    </row>
    <row r="85" ht="22.5" customHeight="1">
      <c r="C85" s="16" t="s">
        <v>172</v>
      </c>
      <c r="D85" s="16" t="s">
        <v>41</v>
      </c>
      <c r="E85" s="28" t="s">
        <v>196</v>
      </c>
      <c r="N85" s="1"/>
      <c r="O85" s="1"/>
    </row>
    <row r="86" ht="22.5" customHeight="1">
      <c r="C86" s="16" t="s">
        <v>174</v>
      </c>
      <c r="D86" s="16" t="s">
        <v>45</v>
      </c>
      <c r="E86" s="28" t="s">
        <v>197</v>
      </c>
      <c r="N86" s="1"/>
      <c r="O86" s="1"/>
    </row>
    <row r="87" ht="22.5" customHeight="1">
      <c r="C87" s="16" t="s">
        <v>177</v>
      </c>
      <c r="D87" s="16" t="s">
        <v>50</v>
      </c>
      <c r="E87" s="28" t="s">
        <v>198</v>
      </c>
      <c r="N87" s="1"/>
      <c r="O87" s="1"/>
    </row>
    <row r="88" ht="22.5" customHeight="1">
      <c r="C88" s="16" t="s">
        <v>179</v>
      </c>
      <c r="D88" s="16" t="s">
        <v>55</v>
      </c>
      <c r="E88" s="28" t="s">
        <v>199</v>
      </c>
      <c r="N88" s="1"/>
      <c r="O88" s="1"/>
    </row>
    <row r="89" ht="22.5" customHeight="1">
      <c r="C89" s="16" t="s">
        <v>180</v>
      </c>
      <c r="D89" s="16" t="s">
        <v>58</v>
      </c>
      <c r="E89" s="28" t="s">
        <v>200</v>
      </c>
      <c r="N89" s="1"/>
      <c r="O89" s="1"/>
    </row>
    <row r="90" ht="22.5" customHeight="1">
      <c r="C90" s="16" t="s">
        <v>183</v>
      </c>
      <c r="D90" s="16" t="s">
        <v>62</v>
      </c>
      <c r="E90" s="28" t="s">
        <v>201</v>
      </c>
      <c r="N90" s="1"/>
      <c r="O90" s="1"/>
    </row>
    <row r="91" ht="22.5" customHeight="1">
      <c r="C91" s="16" t="s">
        <v>186</v>
      </c>
      <c r="D91" s="16" t="s">
        <v>68</v>
      </c>
      <c r="E91" s="28" t="s">
        <v>202</v>
      </c>
      <c r="N91" s="1"/>
      <c r="O91" s="1"/>
    </row>
    <row r="92" ht="22.5" customHeight="1">
      <c r="C92" s="16" t="s">
        <v>188</v>
      </c>
      <c r="D92" s="16" t="s">
        <v>73</v>
      </c>
      <c r="E92" s="28" t="s">
        <v>203</v>
      </c>
      <c r="N92" s="1"/>
      <c r="O92" s="1"/>
    </row>
    <row r="93">
      <c r="N93" s="1"/>
      <c r="O93" s="1"/>
    </row>
    <row r="94">
      <c r="N94" s="1"/>
      <c r="O94" s="1"/>
    </row>
    <row r="95" ht="22.5" customHeight="1">
      <c r="C95" s="14" t="s">
        <v>204</v>
      </c>
      <c r="D95" s="14" t="s">
        <v>7</v>
      </c>
      <c r="E95" s="27" t="s">
        <v>205</v>
      </c>
      <c r="N95" s="1"/>
      <c r="O95" s="1"/>
    </row>
    <row r="96" ht="22.5" customHeight="1">
      <c r="C96" s="16" t="s">
        <v>160</v>
      </c>
      <c r="D96" s="36">
        <v>1.0</v>
      </c>
      <c r="E96" s="28" t="s">
        <v>206</v>
      </c>
      <c r="N96" s="1"/>
      <c r="O96" s="1"/>
    </row>
    <row r="97" ht="22.5" customHeight="1">
      <c r="C97" s="16" t="s">
        <v>163</v>
      </c>
      <c r="D97" s="36">
        <v>1.0</v>
      </c>
      <c r="E97" s="28" t="s">
        <v>207</v>
      </c>
      <c r="N97" s="1"/>
      <c r="O97" s="1"/>
    </row>
    <row r="98" ht="22.5" customHeight="1">
      <c r="C98" s="16" t="s">
        <v>166</v>
      </c>
      <c r="D98" s="37">
        <v>0.001388888888888889</v>
      </c>
      <c r="E98" s="28" t="s">
        <v>208</v>
      </c>
      <c r="N98" s="1"/>
      <c r="O98" s="1"/>
    </row>
    <row r="99" ht="22.5" customHeight="1">
      <c r="C99" s="16" t="s">
        <v>169</v>
      </c>
      <c r="D99" s="36" t="s">
        <v>37</v>
      </c>
      <c r="E99" s="28" t="s">
        <v>209</v>
      </c>
      <c r="N99" s="1"/>
      <c r="O99" s="1"/>
    </row>
    <row r="100" ht="22.5" customHeight="1">
      <c r="C100" s="16" t="s">
        <v>172</v>
      </c>
      <c r="D100" s="36">
        <v>1.0</v>
      </c>
      <c r="E100" s="28" t="s">
        <v>210</v>
      </c>
      <c r="N100" s="1"/>
      <c r="O100" s="1"/>
    </row>
    <row r="101" ht="22.5" customHeight="1">
      <c r="C101" s="16" t="s">
        <v>174</v>
      </c>
      <c r="D101" s="36">
        <v>1.0</v>
      </c>
      <c r="E101" s="28" t="s">
        <v>206</v>
      </c>
      <c r="N101" s="1"/>
      <c r="O101" s="1"/>
    </row>
    <row r="102" ht="22.5" customHeight="1">
      <c r="C102" s="16" t="s">
        <v>177</v>
      </c>
      <c r="D102" s="36">
        <v>1.0</v>
      </c>
      <c r="E102" s="28" t="s">
        <v>206</v>
      </c>
      <c r="N102" s="1"/>
      <c r="O102" s="1"/>
    </row>
    <row r="103" ht="22.5" customHeight="1">
      <c r="C103" s="16" t="s">
        <v>179</v>
      </c>
      <c r="D103" s="36">
        <v>1.0</v>
      </c>
      <c r="E103" s="28" t="s">
        <v>210</v>
      </c>
      <c r="N103" s="1"/>
      <c r="O103" s="1"/>
    </row>
    <row r="104" ht="22.5" customHeight="1">
      <c r="C104" s="16" t="s">
        <v>180</v>
      </c>
      <c r="D104" s="36">
        <v>1.0</v>
      </c>
      <c r="E104" s="28" t="s">
        <v>206</v>
      </c>
      <c r="N104" s="1"/>
      <c r="O104" s="1"/>
    </row>
    <row r="105" ht="22.5" customHeight="1">
      <c r="C105" s="16" t="s">
        <v>183</v>
      </c>
      <c r="D105" s="36">
        <v>1.0</v>
      </c>
      <c r="E105" s="28" t="s">
        <v>206</v>
      </c>
      <c r="N105" s="1"/>
      <c r="O105" s="1"/>
    </row>
    <row r="106" ht="22.5" customHeight="1">
      <c r="C106" s="16" t="s">
        <v>186</v>
      </c>
      <c r="D106" s="36">
        <v>1.0</v>
      </c>
      <c r="E106" s="28" t="s">
        <v>206</v>
      </c>
      <c r="N106" s="1"/>
      <c r="O106" s="1"/>
    </row>
    <row r="107" ht="22.5" customHeight="1">
      <c r="C107" s="16" t="s">
        <v>188</v>
      </c>
      <c r="D107" s="36">
        <v>1.0</v>
      </c>
      <c r="E107" s="28" t="s">
        <v>211</v>
      </c>
      <c r="N107" s="1"/>
      <c r="O107" s="1"/>
    </row>
    <row r="108">
      <c r="N108" s="1"/>
      <c r="O108" s="1"/>
    </row>
    <row r="109">
      <c r="N109" s="1"/>
      <c r="O109" s="1"/>
    </row>
    <row r="110">
      <c r="N110" s="1"/>
      <c r="O110" s="1"/>
    </row>
    <row r="111">
      <c r="N111" s="1"/>
      <c r="O111" s="1"/>
    </row>
    <row r="112">
      <c r="N112" s="1"/>
      <c r="O112" s="1"/>
    </row>
    <row r="113">
      <c r="N113" s="1"/>
      <c r="O113" s="1"/>
    </row>
    <row r="114">
      <c r="N114" s="1"/>
      <c r="O114" s="1"/>
    </row>
    <row r="115">
      <c r="N115" s="1"/>
      <c r="O115" s="1"/>
    </row>
    <row r="116">
      <c r="N116" s="1"/>
      <c r="O116" s="1"/>
    </row>
    <row r="117">
      <c r="N117" s="1"/>
      <c r="O117" s="1"/>
    </row>
    <row r="118">
      <c r="N118" s="1"/>
      <c r="O118" s="1"/>
    </row>
    <row r="119">
      <c r="N119" s="1"/>
      <c r="O119" s="1"/>
    </row>
    <row r="120">
      <c r="N120" s="1"/>
      <c r="O120" s="1"/>
    </row>
    <row r="121">
      <c r="N121" s="1"/>
      <c r="O121" s="1"/>
    </row>
    <row r="122">
      <c r="N122" s="1"/>
      <c r="O122" s="1"/>
    </row>
    <row r="123">
      <c r="N123" s="1"/>
      <c r="O123" s="1"/>
    </row>
    <row r="124">
      <c r="N124" s="1"/>
      <c r="O124" s="1"/>
    </row>
    <row r="125">
      <c r="N125" s="1"/>
      <c r="O125" s="1"/>
    </row>
    <row r="126">
      <c r="N126" s="1"/>
      <c r="O126" s="1"/>
    </row>
    <row r="127">
      <c r="N127" s="1"/>
      <c r="O127" s="1"/>
    </row>
    <row r="128">
      <c r="N128" s="1"/>
      <c r="O128" s="1"/>
    </row>
    <row r="129">
      <c r="N129" s="1"/>
      <c r="O129" s="1"/>
    </row>
    <row r="130">
      <c r="N130" s="1"/>
      <c r="O130" s="1"/>
    </row>
    <row r="131">
      <c r="N131" s="1"/>
      <c r="O131" s="1"/>
    </row>
    <row r="132">
      <c r="N132" s="1"/>
      <c r="O132" s="1"/>
    </row>
    <row r="133">
      <c r="N133" s="1"/>
      <c r="O133" s="1"/>
    </row>
    <row r="134">
      <c r="N134" s="1"/>
      <c r="O134" s="1"/>
    </row>
    <row r="135">
      <c r="N135" s="1"/>
      <c r="O135" s="1"/>
    </row>
    <row r="136">
      <c r="N136" s="1"/>
      <c r="O136" s="1"/>
    </row>
    <row r="137">
      <c r="N137" s="1"/>
      <c r="O137" s="1"/>
    </row>
    <row r="138">
      <c r="N138" s="1"/>
      <c r="O138" s="1"/>
    </row>
    <row r="139">
      <c r="N139" s="1"/>
      <c r="O139" s="1"/>
    </row>
    <row r="140">
      <c r="N140" s="1"/>
      <c r="O140" s="1"/>
    </row>
    <row r="141">
      <c r="N141" s="1"/>
      <c r="O141" s="1"/>
    </row>
    <row r="142">
      <c r="N142" s="1"/>
      <c r="O142" s="1"/>
    </row>
    <row r="143">
      <c r="N143" s="1"/>
      <c r="O143" s="1"/>
    </row>
    <row r="144">
      <c r="N144" s="1"/>
      <c r="O144" s="1"/>
    </row>
    <row r="145">
      <c r="N145" s="1"/>
      <c r="O145" s="1"/>
    </row>
    <row r="146">
      <c r="N146" s="1"/>
      <c r="O146" s="1"/>
    </row>
    <row r="147">
      <c r="N147" s="1"/>
      <c r="O147" s="1"/>
    </row>
    <row r="148">
      <c r="N148" s="1"/>
      <c r="O148" s="1"/>
    </row>
    <row r="149">
      <c r="N149" s="1"/>
      <c r="O149" s="1"/>
    </row>
    <row r="150">
      <c r="N150" s="1"/>
      <c r="O150" s="1"/>
    </row>
    <row r="151">
      <c r="N151" s="1"/>
      <c r="O151" s="1"/>
    </row>
    <row r="152">
      <c r="N152" s="1"/>
      <c r="O152" s="1"/>
    </row>
    <row r="153">
      <c r="N153" s="1"/>
      <c r="O153" s="1"/>
    </row>
    <row r="154">
      <c r="N154" s="1"/>
      <c r="O154" s="1"/>
    </row>
    <row r="155">
      <c r="N155" s="1"/>
      <c r="O155" s="1"/>
    </row>
    <row r="156">
      <c r="N156" s="1"/>
      <c r="O156" s="1"/>
    </row>
    <row r="157">
      <c r="N157" s="1"/>
      <c r="O157" s="1"/>
    </row>
    <row r="158">
      <c r="N158" s="1"/>
      <c r="O158" s="1"/>
    </row>
    <row r="159">
      <c r="N159" s="1"/>
      <c r="O159" s="1"/>
    </row>
    <row r="160">
      <c r="N160" s="1"/>
      <c r="O160" s="1"/>
    </row>
    <row r="161">
      <c r="N161" s="1"/>
      <c r="O161" s="1"/>
    </row>
    <row r="162">
      <c r="N162" s="1"/>
      <c r="O162" s="1"/>
    </row>
    <row r="163">
      <c r="N163" s="1"/>
      <c r="O163" s="1"/>
    </row>
    <row r="164">
      <c r="N164" s="1"/>
      <c r="O164" s="1"/>
    </row>
    <row r="165">
      <c r="N165" s="1"/>
      <c r="O165" s="1"/>
    </row>
    <row r="166">
      <c r="N166" s="1"/>
      <c r="O166" s="1"/>
    </row>
    <row r="167">
      <c r="N167" s="1"/>
      <c r="O167" s="1"/>
    </row>
    <row r="168">
      <c r="N168" s="1"/>
      <c r="O168" s="1"/>
    </row>
    <row r="169">
      <c r="N169" s="1"/>
      <c r="O169" s="1"/>
    </row>
    <row r="170">
      <c r="N170" s="1"/>
      <c r="O170" s="1"/>
    </row>
    <row r="171">
      <c r="N171" s="1"/>
      <c r="O171" s="1"/>
    </row>
    <row r="172">
      <c r="N172" s="1"/>
      <c r="O172" s="1"/>
    </row>
    <row r="173">
      <c r="N173" s="1"/>
      <c r="O173" s="1"/>
    </row>
    <row r="174">
      <c r="N174" s="1"/>
      <c r="O174" s="1"/>
    </row>
    <row r="175">
      <c r="N175" s="1"/>
      <c r="O175" s="1"/>
    </row>
    <row r="176">
      <c r="N176" s="1"/>
      <c r="O176" s="1"/>
    </row>
    <row r="177">
      <c r="N177" s="1"/>
      <c r="O177" s="1"/>
    </row>
    <row r="178">
      <c r="N178" s="1"/>
      <c r="O178" s="1"/>
    </row>
    <row r="179">
      <c r="N179" s="1"/>
      <c r="O179" s="1"/>
    </row>
    <row r="180">
      <c r="N180" s="1"/>
      <c r="O180" s="1"/>
    </row>
    <row r="181">
      <c r="N181" s="1"/>
      <c r="O181" s="1"/>
    </row>
    <row r="182">
      <c r="N182" s="1"/>
      <c r="O182" s="1"/>
    </row>
    <row r="183">
      <c r="N183" s="1"/>
      <c r="O183" s="1"/>
    </row>
    <row r="184">
      <c r="N184" s="1"/>
      <c r="O184" s="1"/>
    </row>
    <row r="185">
      <c r="N185" s="1"/>
      <c r="O185" s="1"/>
    </row>
    <row r="186">
      <c r="N186" s="1"/>
      <c r="O186" s="1"/>
    </row>
    <row r="187">
      <c r="N187" s="1"/>
      <c r="O187" s="1"/>
    </row>
    <row r="188">
      <c r="N188" s="1"/>
      <c r="O188" s="1"/>
    </row>
    <row r="189">
      <c r="N189" s="1"/>
      <c r="O189" s="1"/>
    </row>
    <row r="190">
      <c r="N190" s="1"/>
      <c r="O190" s="1"/>
    </row>
    <row r="191">
      <c r="N191" s="1"/>
      <c r="O191" s="1"/>
    </row>
    <row r="192">
      <c r="N192" s="1"/>
      <c r="O192" s="1"/>
    </row>
    <row r="193">
      <c r="N193" s="1"/>
      <c r="O193" s="1"/>
    </row>
    <row r="194">
      <c r="N194" s="1"/>
      <c r="O194" s="1"/>
    </row>
    <row r="195">
      <c r="N195" s="1"/>
      <c r="O195" s="1"/>
    </row>
    <row r="196">
      <c r="N196" s="1"/>
      <c r="O196" s="1"/>
    </row>
    <row r="197">
      <c r="N197" s="1"/>
      <c r="O197" s="1"/>
    </row>
    <row r="198">
      <c r="N198" s="1"/>
      <c r="O198" s="1"/>
    </row>
    <row r="199">
      <c r="N199" s="1"/>
      <c r="O199" s="1"/>
    </row>
    <row r="200">
      <c r="N200" s="1"/>
      <c r="O200" s="1"/>
    </row>
    <row r="201">
      <c r="N201" s="1"/>
      <c r="O201" s="1"/>
    </row>
    <row r="202">
      <c r="N202" s="1"/>
      <c r="O202" s="1"/>
    </row>
    <row r="203">
      <c r="N203" s="1"/>
      <c r="O203" s="1"/>
    </row>
    <row r="204">
      <c r="N204" s="1"/>
      <c r="O204" s="1"/>
    </row>
    <row r="205">
      <c r="N205" s="1"/>
      <c r="O205" s="1"/>
    </row>
    <row r="206">
      <c r="N206" s="1"/>
      <c r="O206" s="1"/>
    </row>
    <row r="207">
      <c r="N207" s="1"/>
      <c r="O207" s="1"/>
    </row>
    <row r="208">
      <c r="N208" s="1"/>
      <c r="O208" s="1"/>
    </row>
    <row r="209">
      <c r="N209" s="1"/>
      <c r="O209" s="1"/>
    </row>
    <row r="210">
      <c r="N210" s="1"/>
      <c r="O210" s="1"/>
    </row>
    <row r="211">
      <c r="N211" s="1"/>
      <c r="O211" s="1"/>
    </row>
    <row r="212">
      <c r="N212" s="1"/>
      <c r="O212" s="1"/>
    </row>
    <row r="213">
      <c r="N213" s="1"/>
      <c r="O213" s="1"/>
    </row>
    <row r="214">
      <c r="N214" s="1"/>
      <c r="O214" s="1"/>
    </row>
    <row r="215">
      <c r="N215" s="1"/>
      <c r="O215" s="1"/>
    </row>
    <row r="216">
      <c r="N216" s="1"/>
      <c r="O216" s="1"/>
    </row>
    <row r="217">
      <c r="N217" s="1"/>
      <c r="O217" s="1"/>
    </row>
    <row r="218">
      <c r="N218" s="1"/>
      <c r="O218" s="1"/>
    </row>
    <row r="219">
      <c r="N219" s="1"/>
      <c r="O219" s="1"/>
    </row>
    <row r="220">
      <c r="N220" s="1"/>
      <c r="O220" s="1"/>
    </row>
    <row r="221">
      <c r="N221" s="1"/>
      <c r="O221" s="1"/>
    </row>
    <row r="222">
      <c r="N222" s="1"/>
      <c r="O222" s="1"/>
    </row>
    <row r="223">
      <c r="N223" s="1"/>
      <c r="O223" s="1"/>
    </row>
    <row r="224">
      <c r="N224" s="1"/>
      <c r="O224" s="1"/>
    </row>
    <row r="225">
      <c r="N225" s="1"/>
      <c r="O225" s="1"/>
    </row>
    <row r="226">
      <c r="N226" s="1"/>
      <c r="O226" s="1"/>
    </row>
    <row r="227">
      <c r="N227" s="1"/>
      <c r="O227" s="1"/>
    </row>
    <row r="228">
      <c r="N228" s="1"/>
      <c r="O228" s="1"/>
    </row>
    <row r="229">
      <c r="N229" s="1"/>
      <c r="O229" s="1"/>
    </row>
    <row r="230">
      <c r="N230" s="1"/>
      <c r="O230" s="1"/>
    </row>
    <row r="231">
      <c r="N231" s="1"/>
      <c r="O231" s="1"/>
    </row>
    <row r="232">
      <c r="N232" s="1"/>
      <c r="O232" s="1"/>
    </row>
    <row r="233">
      <c r="N233" s="1"/>
      <c r="O233" s="1"/>
    </row>
    <row r="234">
      <c r="N234" s="1"/>
      <c r="O234" s="1"/>
    </row>
    <row r="235">
      <c r="N235" s="1"/>
      <c r="O235" s="1"/>
    </row>
    <row r="236">
      <c r="N236" s="1"/>
      <c r="O236" s="1"/>
    </row>
    <row r="237">
      <c r="N237" s="1"/>
      <c r="O237" s="1"/>
    </row>
    <row r="238">
      <c r="N238" s="1"/>
      <c r="O238" s="1"/>
    </row>
    <row r="239">
      <c r="N239" s="1"/>
      <c r="O239" s="1"/>
    </row>
    <row r="240">
      <c r="N240" s="1"/>
      <c r="O240" s="1"/>
    </row>
    <row r="241">
      <c r="N241" s="1"/>
      <c r="O241" s="1"/>
    </row>
    <row r="242">
      <c r="N242" s="1"/>
      <c r="O242" s="1"/>
    </row>
    <row r="243">
      <c r="N243" s="1"/>
      <c r="O243" s="1"/>
    </row>
    <row r="244">
      <c r="N244" s="1"/>
      <c r="O244" s="1"/>
    </row>
    <row r="245">
      <c r="N245" s="1"/>
      <c r="O245" s="1"/>
    </row>
    <row r="246">
      <c r="N246" s="1"/>
      <c r="O246" s="1"/>
    </row>
    <row r="247">
      <c r="N247" s="1"/>
      <c r="O247" s="1"/>
    </row>
    <row r="248">
      <c r="N248" s="1"/>
      <c r="O248" s="1"/>
    </row>
    <row r="249">
      <c r="N249" s="1"/>
      <c r="O249" s="1"/>
    </row>
    <row r="250">
      <c r="N250" s="1"/>
      <c r="O250" s="1"/>
    </row>
    <row r="251">
      <c r="N251" s="1"/>
      <c r="O251" s="1"/>
    </row>
    <row r="252">
      <c r="N252" s="1"/>
      <c r="O252" s="1"/>
    </row>
    <row r="253">
      <c r="N253" s="1"/>
      <c r="O253" s="1"/>
    </row>
    <row r="254">
      <c r="N254" s="1"/>
      <c r="O254" s="1"/>
    </row>
    <row r="255">
      <c r="N255" s="1"/>
      <c r="O255" s="1"/>
    </row>
    <row r="256">
      <c r="N256" s="1"/>
      <c r="O256" s="1"/>
    </row>
    <row r="257">
      <c r="N257" s="1"/>
      <c r="O257" s="1"/>
    </row>
    <row r="258">
      <c r="N258" s="1"/>
      <c r="O258" s="1"/>
    </row>
    <row r="259">
      <c r="N259" s="1"/>
      <c r="O259" s="1"/>
    </row>
    <row r="260">
      <c r="N260" s="1"/>
      <c r="O260" s="1"/>
    </row>
    <row r="261">
      <c r="N261" s="1"/>
      <c r="O261" s="1"/>
    </row>
    <row r="262">
      <c r="N262" s="1"/>
      <c r="O262" s="1"/>
    </row>
    <row r="263">
      <c r="N263" s="1"/>
      <c r="O263" s="1"/>
    </row>
    <row r="264">
      <c r="N264" s="1"/>
      <c r="O264" s="1"/>
    </row>
    <row r="265">
      <c r="N265" s="1"/>
      <c r="O265" s="1"/>
    </row>
    <row r="266">
      <c r="N266" s="1"/>
      <c r="O266" s="1"/>
    </row>
    <row r="267">
      <c r="N267" s="1"/>
      <c r="O267" s="1"/>
    </row>
    <row r="268">
      <c r="N268" s="1"/>
      <c r="O268" s="1"/>
    </row>
    <row r="269">
      <c r="N269" s="1"/>
      <c r="O269" s="1"/>
    </row>
    <row r="270">
      <c r="N270" s="1"/>
      <c r="O270" s="1"/>
    </row>
    <row r="271">
      <c r="N271" s="1"/>
      <c r="O271" s="1"/>
    </row>
    <row r="272">
      <c r="N272" s="1"/>
      <c r="O272" s="1"/>
    </row>
    <row r="273">
      <c r="N273" s="1"/>
      <c r="O273" s="1"/>
    </row>
    <row r="274">
      <c r="N274" s="1"/>
      <c r="O274" s="1"/>
    </row>
    <row r="275">
      <c r="N275" s="1"/>
      <c r="O275" s="1"/>
    </row>
    <row r="276">
      <c r="N276" s="1"/>
      <c r="O276" s="1"/>
    </row>
    <row r="277">
      <c r="N277" s="1"/>
      <c r="O277" s="1"/>
    </row>
    <row r="278">
      <c r="N278" s="1"/>
      <c r="O278" s="1"/>
    </row>
    <row r="279">
      <c r="N279" s="1"/>
      <c r="O279" s="1"/>
    </row>
    <row r="280">
      <c r="N280" s="1"/>
      <c r="O280" s="1"/>
    </row>
    <row r="281">
      <c r="N281" s="1"/>
      <c r="O281" s="1"/>
    </row>
    <row r="282">
      <c r="N282" s="1"/>
      <c r="O282" s="1"/>
    </row>
    <row r="283">
      <c r="N283" s="1"/>
      <c r="O283" s="1"/>
    </row>
    <row r="284">
      <c r="N284" s="1"/>
      <c r="O284" s="1"/>
    </row>
    <row r="285">
      <c r="N285" s="1"/>
      <c r="O285" s="1"/>
    </row>
    <row r="286">
      <c r="N286" s="1"/>
      <c r="O286" s="1"/>
    </row>
    <row r="287">
      <c r="N287" s="1"/>
      <c r="O287" s="1"/>
    </row>
    <row r="288">
      <c r="N288" s="1"/>
      <c r="O288" s="1"/>
    </row>
    <row r="289">
      <c r="N289" s="1"/>
      <c r="O289" s="1"/>
    </row>
    <row r="290">
      <c r="N290" s="1"/>
      <c r="O290" s="1"/>
    </row>
    <row r="291">
      <c r="N291" s="1"/>
      <c r="O291" s="1"/>
    </row>
    <row r="292">
      <c r="N292" s="1"/>
      <c r="O292" s="1"/>
    </row>
    <row r="293">
      <c r="N293" s="1"/>
      <c r="O293" s="1"/>
    </row>
    <row r="294">
      <c r="N294" s="1"/>
      <c r="O294" s="1"/>
    </row>
    <row r="295">
      <c r="N295" s="1"/>
      <c r="O295" s="1"/>
    </row>
    <row r="296">
      <c r="N296" s="1"/>
      <c r="O296" s="1"/>
    </row>
    <row r="297">
      <c r="N297" s="1"/>
      <c r="O297" s="1"/>
    </row>
    <row r="298">
      <c r="N298" s="1"/>
      <c r="O298" s="1"/>
    </row>
    <row r="299">
      <c r="N299" s="1"/>
      <c r="O299" s="1"/>
    </row>
    <row r="300">
      <c r="N300" s="1"/>
      <c r="O300" s="1"/>
    </row>
    <row r="301">
      <c r="N301" s="1"/>
      <c r="O301" s="1"/>
    </row>
    <row r="302">
      <c r="N302" s="1"/>
      <c r="O302" s="1"/>
    </row>
    <row r="303">
      <c r="N303" s="1"/>
      <c r="O303" s="1"/>
    </row>
    <row r="304">
      <c r="N304" s="1"/>
      <c r="O304" s="1"/>
    </row>
    <row r="305">
      <c r="N305" s="1"/>
      <c r="O305" s="1"/>
    </row>
    <row r="306">
      <c r="N306" s="1"/>
      <c r="O306" s="1"/>
    </row>
    <row r="307">
      <c r="N307" s="1"/>
      <c r="O307" s="1"/>
    </row>
    <row r="308">
      <c r="N308" s="1"/>
      <c r="O308" s="1"/>
    </row>
    <row r="309">
      <c r="N309" s="1"/>
      <c r="O309" s="1"/>
    </row>
    <row r="310">
      <c r="N310" s="1"/>
      <c r="O310" s="1"/>
    </row>
    <row r="311">
      <c r="N311" s="1"/>
      <c r="O311" s="1"/>
    </row>
    <row r="312">
      <c r="N312" s="1"/>
      <c r="O312" s="1"/>
    </row>
    <row r="313">
      <c r="N313" s="1"/>
      <c r="O313" s="1"/>
    </row>
    <row r="314">
      <c r="N314" s="1"/>
      <c r="O314" s="1"/>
    </row>
    <row r="315">
      <c r="N315" s="1"/>
      <c r="O315" s="1"/>
    </row>
    <row r="316">
      <c r="N316" s="1"/>
      <c r="O316" s="1"/>
    </row>
    <row r="317">
      <c r="N317" s="1"/>
      <c r="O317" s="1"/>
    </row>
    <row r="318">
      <c r="N318" s="1"/>
      <c r="O318" s="1"/>
    </row>
    <row r="319">
      <c r="N319" s="1"/>
      <c r="O319" s="1"/>
    </row>
    <row r="320">
      <c r="N320" s="1"/>
      <c r="O320" s="1"/>
    </row>
    <row r="321">
      <c r="N321" s="1"/>
      <c r="O321" s="1"/>
    </row>
    <row r="322">
      <c r="N322" s="1"/>
      <c r="O322" s="1"/>
    </row>
    <row r="323">
      <c r="N323" s="1"/>
      <c r="O323" s="1"/>
    </row>
    <row r="324">
      <c r="N324" s="1"/>
      <c r="O324" s="1"/>
    </row>
    <row r="325">
      <c r="N325" s="1"/>
      <c r="O325" s="1"/>
    </row>
    <row r="326">
      <c r="N326" s="1"/>
      <c r="O326" s="1"/>
    </row>
    <row r="327">
      <c r="N327" s="1"/>
      <c r="O327" s="1"/>
    </row>
    <row r="328">
      <c r="N328" s="1"/>
      <c r="O328" s="1"/>
    </row>
    <row r="329">
      <c r="N329" s="1"/>
      <c r="O329" s="1"/>
    </row>
    <row r="330">
      <c r="N330" s="1"/>
      <c r="O330" s="1"/>
    </row>
    <row r="331">
      <c r="N331" s="1"/>
      <c r="O331" s="1"/>
    </row>
    <row r="332">
      <c r="N332" s="1"/>
      <c r="O332" s="1"/>
    </row>
    <row r="333">
      <c r="N333" s="1"/>
      <c r="O333" s="1"/>
    </row>
    <row r="334">
      <c r="N334" s="1"/>
      <c r="O334" s="1"/>
    </row>
    <row r="335">
      <c r="N335" s="1"/>
      <c r="O335" s="1"/>
    </row>
    <row r="336">
      <c r="N336" s="1"/>
      <c r="O336" s="1"/>
    </row>
    <row r="337">
      <c r="N337" s="1"/>
      <c r="O337" s="1"/>
    </row>
    <row r="338">
      <c r="N338" s="1"/>
      <c r="O338" s="1"/>
    </row>
    <row r="339">
      <c r="N339" s="1"/>
      <c r="O339" s="1"/>
    </row>
    <row r="340">
      <c r="N340" s="1"/>
      <c r="O340" s="1"/>
    </row>
    <row r="341">
      <c r="N341" s="1"/>
      <c r="O341" s="1"/>
    </row>
    <row r="342">
      <c r="N342" s="1"/>
      <c r="O342" s="1"/>
    </row>
    <row r="343">
      <c r="N343" s="1"/>
      <c r="O343" s="1"/>
    </row>
    <row r="344">
      <c r="N344" s="1"/>
      <c r="O344" s="1"/>
    </row>
    <row r="345">
      <c r="N345" s="1"/>
      <c r="O345" s="1"/>
    </row>
    <row r="346">
      <c r="N346" s="1"/>
      <c r="O346" s="1"/>
    </row>
    <row r="347">
      <c r="N347" s="1"/>
      <c r="O347" s="1"/>
    </row>
    <row r="348">
      <c r="N348" s="1"/>
      <c r="O348" s="1"/>
    </row>
    <row r="349">
      <c r="N349" s="1"/>
      <c r="O349" s="1"/>
    </row>
    <row r="350">
      <c r="N350" s="1"/>
      <c r="O350" s="1"/>
    </row>
    <row r="351">
      <c r="N351" s="1"/>
      <c r="O351" s="1"/>
    </row>
    <row r="352">
      <c r="N352" s="1"/>
      <c r="O352" s="1"/>
    </row>
    <row r="353">
      <c r="N353" s="1"/>
      <c r="O353" s="1"/>
    </row>
    <row r="354">
      <c r="N354" s="1"/>
      <c r="O354" s="1"/>
    </row>
    <row r="355">
      <c r="N355" s="1"/>
      <c r="O355" s="1"/>
    </row>
    <row r="356">
      <c r="N356" s="1"/>
      <c r="O356" s="1"/>
    </row>
    <row r="357">
      <c r="N357" s="1"/>
      <c r="O357" s="1"/>
    </row>
    <row r="358">
      <c r="N358" s="1"/>
      <c r="O358" s="1"/>
    </row>
    <row r="359">
      <c r="N359" s="1"/>
      <c r="O359" s="1"/>
    </row>
    <row r="360">
      <c r="N360" s="1"/>
      <c r="O360" s="1"/>
    </row>
    <row r="361">
      <c r="N361" s="1"/>
      <c r="O361" s="1"/>
    </row>
    <row r="362">
      <c r="N362" s="1"/>
      <c r="O362" s="1"/>
    </row>
    <row r="363">
      <c r="N363" s="1"/>
      <c r="O363" s="1"/>
    </row>
    <row r="364">
      <c r="N364" s="1"/>
      <c r="O364" s="1"/>
    </row>
    <row r="365">
      <c r="N365" s="1"/>
      <c r="O365" s="1"/>
    </row>
    <row r="366">
      <c r="N366" s="1"/>
      <c r="O366" s="1"/>
    </row>
    <row r="367">
      <c r="N367" s="1"/>
      <c r="O367" s="1"/>
    </row>
    <row r="368">
      <c r="N368" s="1"/>
      <c r="O368" s="1"/>
    </row>
    <row r="369">
      <c r="N369" s="1"/>
      <c r="O369" s="1"/>
    </row>
    <row r="370">
      <c r="N370" s="1"/>
      <c r="O370" s="1"/>
    </row>
    <row r="371">
      <c r="N371" s="1"/>
      <c r="O371" s="1"/>
    </row>
    <row r="372">
      <c r="N372" s="1"/>
      <c r="O372" s="1"/>
    </row>
    <row r="373">
      <c r="N373" s="1"/>
      <c r="O373" s="1"/>
    </row>
    <row r="374">
      <c r="N374" s="1"/>
      <c r="O374" s="1"/>
    </row>
    <row r="375">
      <c r="N375" s="1"/>
      <c r="O375" s="1"/>
    </row>
    <row r="376">
      <c r="N376" s="1"/>
      <c r="O376" s="1"/>
    </row>
    <row r="377">
      <c r="N377" s="1"/>
      <c r="O377" s="1"/>
    </row>
    <row r="378">
      <c r="N378" s="1"/>
      <c r="O378" s="1"/>
    </row>
    <row r="379">
      <c r="N379" s="1"/>
      <c r="O379" s="1"/>
    </row>
    <row r="380">
      <c r="N380" s="1"/>
      <c r="O380" s="1"/>
    </row>
    <row r="381">
      <c r="N381" s="1"/>
      <c r="O381" s="1"/>
    </row>
    <row r="382">
      <c r="N382" s="1"/>
      <c r="O382" s="1"/>
    </row>
    <row r="383">
      <c r="N383" s="1"/>
      <c r="O383" s="1"/>
    </row>
    <row r="384">
      <c r="N384" s="1"/>
      <c r="O384" s="1"/>
    </row>
    <row r="385">
      <c r="N385" s="1"/>
      <c r="O385" s="1"/>
    </row>
    <row r="386">
      <c r="N386" s="1"/>
      <c r="O386" s="1"/>
    </row>
    <row r="387">
      <c r="N387" s="1"/>
      <c r="O387" s="1"/>
    </row>
    <row r="388">
      <c r="N388" s="1"/>
      <c r="O388" s="1"/>
    </row>
    <row r="389">
      <c r="N389" s="1"/>
      <c r="O389" s="1"/>
    </row>
    <row r="390">
      <c r="N390" s="1"/>
      <c r="O390" s="1"/>
    </row>
    <row r="391">
      <c r="N391" s="1"/>
      <c r="O391" s="1"/>
    </row>
    <row r="392">
      <c r="N392" s="1"/>
      <c r="O392" s="1"/>
    </row>
    <row r="393">
      <c r="N393" s="1"/>
      <c r="O393" s="1"/>
    </row>
    <row r="394">
      <c r="N394" s="1"/>
      <c r="O394" s="1"/>
    </row>
    <row r="395">
      <c r="N395" s="1"/>
      <c r="O395" s="1"/>
    </row>
    <row r="396">
      <c r="N396" s="1"/>
      <c r="O396" s="1"/>
    </row>
    <row r="397">
      <c r="N397" s="1"/>
      <c r="O397" s="1"/>
    </row>
    <row r="398">
      <c r="N398" s="1"/>
      <c r="O398" s="1"/>
    </row>
    <row r="399">
      <c r="N399" s="1"/>
      <c r="O399" s="1"/>
    </row>
    <row r="400">
      <c r="N400" s="1"/>
      <c r="O400" s="1"/>
    </row>
    <row r="401">
      <c r="N401" s="1"/>
      <c r="O401" s="1"/>
    </row>
    <row r="402">
      <c r="N402" s="1"/>
      <c r="O402" s="1"/>
    </row>
    <row r="403">
      <c r="N403" s="1"/>
      <c r="O403" s="1"/>
    </row>
    <row r="404">
      <c r="N404" s="1"/>
      <c r="O404" s="1"/>
    </row>
    <row r="405">
      <c r="N405" s="1"/>
      <c r="O405" s="1"/>
    </row>
    <row r="406">
      <c r="N406" s="1"/>
      <c r="O406" s="1"/>
    </row>
    <row r="407">
      <c r="N407" s="1"/>
      <c r="O407" s="1"/>
    </row>
    <row r="408">
      <c r="N408" s="1"/>
      <c r="O408" s="1"/>
    </row>
    <row r="409">
      <c r="N409" s="1"/>
      <c r="O409" s="1"/>
    </row>
    <row r="410">
      <c r="N410" s="1"/>
      <c r="O410" s="1"/>
    </row>
    <row r="411">
      <c r="N411" s="1"/>
      <c r="O411" s="1"/>
    </row>
    <row r="412">
      <c r="N412" s="1"/>
      <c r="O412" s="1"/>
    </row>
    <row r="413">
      <c r="N413" s="1"/>
      <c r="O413" s="1"/>
    </row>
    <row r="414">
      <c r="N414" s="1"/>
      <c r="O414" s="1"/>
    </row>
    <row r="415">
      <c r="N415" s="1"/>
      <c r="O415" s="1"/>
    </row>
    <row r="416">
      <c r="N416" s="1"/>
      <c r="O416" s="1"/>
    </row>
    <row r="417">
      <c r="N417" s="1"/>
      <c r="O417" s="1"/>
    </row>
    <row r="418">
      <c r="N418" s="1"/>
      <c r="O418" s="1"/>
    </row>
    <row r="419">
      <c r="N419" s="1"/>
      <c r="O419" s="1"/>
    </row>
    <row r="420">
      <c r="N420" s="1"/>
      <c r="O420" s="1"/>
    </row>
    <row r="421">
      <c r="N421" s="1"/>
      <c r="O421" s="1"/>
    </row>
    <row r="422">
      <c r="N422" s="1"/>
      <c r="O422" s="1"/>
    </row>
    <row r="423">
      <c r="N423" s="1"/>
      <c r="O423" s="1"/>
    </row>
    <row r="424">
      <c r="N424" s="1"/>
      <c r="O424" s="1"/>
    </row>
    <row r="425">
      <c r="N425" s="1"/>
      <c r="O425" s="1"/>
    </row>
    <row r="426">
      <c r="N426" s="1"/>
      <c r="O426" s="1"/>
    </row>
    <row r="427">
      <c r="N427" s="1"/>
      <c r="O427" s="1"/>
    </row>
    <row r="428">
      <c r="N428" s="1"/>
      <c r="O428" s="1"/>
    </row>
    <row r="429">
      <c r="N429" s="1"/>
      <c r="O429" s="1"/>
    </row>
    <row r="430">
      <c r="N430" s="1"/>
      <c r="O430" s="1"/>
    </row>
    <row r="431">
      <c r="N431" s="1"/>
      <c r="O431" s="1"/>
    </row>
    <row r="432">
      <c r="N432" s="1"/>
      <c r="O432" s="1"/>
    </row>
    <row r="433">
      <c r="N433" s="1"/>
      <c r="O433" s="1"/>
    </row>
    <row r="434">
      <c r="N434" s="1"/>
      <c r="O434" s="1"/>
    </row>
    <row r="435">
      <c r="N435" s="1"/>
      <c r="O435" s="1"/>
    </row>
    <row r="436">
      <c r="N436" s="1"/>
      <c r="O436" s="1"/>
    </row>
    <row r="437">
      <c r="N437" s="1"/>
      <c r="O437" s="1"/>
    </row>
    <row r="438">
      <c r="N438" s="1"/>
      <c r="O438" s="1"/>
    </row>
    <row r="439">
      <c r="N439" s="1"/>
      <c r="O439" s="1"/>
    </row>
    <row r="440">
      <c r="N440" s="1"/>
      <c r="O440" s="1"/>
    </row>
    <row r="441">
      <c r="N441" s="1"/>
      <c r="O441" s="1"/>
    </row>
    <row r="442">
      <c r="N442" s="1"/>
      <c r="O442" s="1"/>
    </row>
    <row r="443">
      <c r="N443" s="1"/>
      <c r="O443" s="1"/>
    </row>
    <row r="444">
      <c r="N444" s="1"/>
      <c r="O444" s="1"/>
    </row>
    <row r="445">
      <c r="N445" s="1"/>
      <c r="O445" s="1"/>
    </row>
    <row r="446">
      <c r="N446" s="1"/>
      <c r="O446" s="1"/>
    </row>
    <row r="447">
      <c r="N447" s="1"/>
      <c r="O447" s="1"/>
    </row>
    <row r="448">
      <c r="N448" s="1"/>
      <c r="O448" s="1"/>
    </row>
    <row r="449">
      <c r="N449" s="1"/>
      <c r="O449" s="1"/>
    </row>
    <row r="450">
      <c r="N450" s="1"/>
      <c r="O450" s="1"/>
    </row>
    <row r="451">
      <c r="N451" s="1"/>
      <c r="O451" s="1"/>
    </row>
    <row r="452">
      <c r="N452" s="1"/>
      <c r="O452" s="1"/>
    </row>
    <row r="453">
      <c r="N453" s="1"/>
      <c r="O453" s="1"/>
    </row>
    <row r="454">
      <c r="N454" s="1"/>
      <c r="O454" s="1"/>
    </row>
    <row r="455">
      <c r="N455" s="1"/>
      <c r="O455" s="1"/>
    </row>
    <row r="456">
      <c r="N456" s="1"/>
      <c r="O456" s="1"/>
    </row>
    <row r="457">
      <c r="N457" s="1"/>
      <c r="O457" s="1"/>
    </row>
    <row r="458">
      <c r="N458" s="1"/>
      <c r="O458" s="1"/>
    </row>
    <row r="459">
      <c r="N459" s="1"/>
      <c r="O459" s="1"/>
    </row>
    <row r="460">
      <c r="N460" s="1"/>
      <c r="O460" s="1"/>
    </row>
    <row r="461">
      <c r="N461" s="1"/>
      <c r="O461" s="1"/>
    </row>
    <row r="462">
      <c r="N462" s="1"/>
      <c r="O462" s="1"/>
    </row>
    <row r="463">
      <c r="N463" s="1"/>
      <c r="O463" s="1"/>
    </row>
    <row r="464">
      <c r="N464" s="1"/>
      <c r="O464" s="1"/>
    </row>
    <row r="465">
      <c r="N465" s="1"/>
      <c r="O465" s="1"/>
    </row>
    <row r="466">
      <c r="N466" s="1"/>
      <c r="O466" s="1"/>
    </row>
    <row r="467">
      <c r="N467" s="1"/>
      <c r="O467" s="1"/>
    </row>
    <row r="468">
      <c r="N468" s="1"/>
      <c r="O468" s="1"/>
    </row>
    <row r="469">
      <c r="N469" s="1"/>
      <c r="O469" s="1"/>
    </row>
    <row r="470">
      <c r="N470" s="1"/>
      <c r="O470" s="1"/>
    </row>
    <row r="471">
      <c r="N471" s="1"/>
      <c r="O471" s="1"/>
    </row>
    <row r="472">
      <c r="N472" s="1"/>
      <c r="O472" s="1"/>
    </row>
    <row r="473">
      <c r="N473" s="1"/>
      <c r="O473" s="1"/>
    </row>
    <row r="474">
      <c r="N474" s="1"/>
      <c r="O474" s="1"/>
    </row>
    <row r="475">
      <c r="N475" s="1"/>
      <c r="O475" s="1"/>
    </row>
    <row r="476">
      <c r="N476" s="1"/>
      <c r="O476" s="1"/>
    </row>
    <row r="477">
      <c r="N477" s="1"/>
      <c r="O477" s="1"/>
    </row>
    <row r="478">
      <c r="N478" s="1"/>
      <c r="O478" s="1"/>
    </row>
    <row r="479">
      <c r="N479" s="1"/>
      <c r="O479" s="1"/>
    </row>
    <row r="480">
      <c r="N480" s="1"/>
      <c r="O480" s="1"/>
    </row>
    <row r="481">
      <c r="N481" s="1"/>
      <c r="O481" s="1"/>
    </row>
    <row r="482">
      <c r="N482" s="1"/>
      <c r="O482" s="1"/>
    </row>
    <row r="483">
      <c r="N483" s="1"/>
      <c r="O483" s="1"/>
    </row>
    <row r="484">
      <c r="N484" s="1"/>
      <c r="O484" s="1"/>
    </row>
    <row r="485">
      <c r="N485" s="1"/>
      <c r="O485" s="1"/>
    </row>
    <row r="486">
      <c r="N486" s="1"/>
      <c r="O486" s="1"/>
    </row>
    <row r="487">
      <c r="N487" s="1"/>
      <c r="O487" s="1"/>
    </row>
    <row r="488">
      <c r="N488" s="1"/>
      <c r="O488" s="1"/>
    </row>
    <row r="489">
      <c r="N489" s="1"/>
      <c r="O489" s="1"/>
    </row>
    <row r="490">
      <c r="N490" s="1"/>
      <c r="O490" s="1"/>
    </row>
    <row r="491">
      <c r="N491" s="1"/>
      <c r="O491" s="1"/>
    </row>
    <row r="492">
      <c r="N492" s="1"/>
      <c r="O492" s="1"/>
    </row>
    <row r="493">
      <c r="N493" s="1"/>
      <c r="O493" s="1"/>
    </row>
    <row r="494">
      <c r="N494" s="1"/>
      <c r="O494" s="1"/>
    </row>
    <row r="495">
      <c r="N495" s="1"/>
      <c r="O495" s="1"/>
    </row>
    <row r="496">
      <c r="N496" s="1"/>
      <c r="O496" s="1"/>
    </row>
    <row r="497">
      <c r="N497" s="1"/>
      <c r="O497" s="1"/>
    </row>
    <row r="498">
      <c r="N498" s="1"/>
      <c r="O498" s="1"/>
    </row>
    <row r="499">
      <c r="N499" s="1"/>
      <c r="O499" s="1"/>
    </row>
    <row r="500">
      <c r="N500" s="1"/>
      <c r="O500" s="1"/>
    </row>
    <row r="501">
      <c r="N501" s="1"/>
      <c r="O501" s="1"/>
    </row>
    <row r="502">
      <c r="N502" s="1"/>
      <c r="O502" s="1"/>
    </row>
    <row r="503">
      <c r="N503" s="1"/>
      <c r="O503" s="1"/>
    </row>
    <row r="504">
      <c r="N504" s="1"/>
      <c r="O504" s="1"/>
    </row>
    <row r="505">
      <c r="N505" s="1"/>
      <c r="O505" s="1"/>
    </row>
    <row r="506">
      <c r="N506" s="1"/>
      <c r="O506" s="1"/>
    </row>
    <row r="507">
      <c r="N507" s="1"/>
      <c r="O507" s="1"/>
    </row>
    <row r="508">
      <c r="N508" s="1"/>
      <c r="O508" s="1"/>
    </row>
    <row r="509">
      <c r="N509" s="1"/>
      <c r="O509" s="1"/>
    </row>
    <row r="510">
      <c r="N510" s="1"/>
      <c r="O510" s="1"/>
    </row>
    <row r="511">
      <c r="N511" s="1"/>
      <c r="O511" s="1"/>
    </row>
    <row r="512">
      <c r="N512" s="1"/>
      <c r="O512" s="1"/>
    </row>
    <row r="513">
      <c r="N513" s="1"/>
      <c r="O513" s="1"/>
    </row>
    <row r="514">
      <c r="N514" s="1"/>
      <c r="O514" s="1"/>
    </row>
    <row r="515">
      <c r="N515" s="1"/>
      <c r="O515" s="1"/>
    </row>
    <row r="516">
      <c r="N516" s="1"/>
      <c r="O516" s="1"/>
    </row>
    <row r="517">
      <c r="N517" s="1"/>
      <c r="O517" s="1"/>
    </row>
    <row r="518">
      <c r="N518" s="1"/>
      <c r="O518" s="1"/>
    </row>
    <row r="519">
      <c r="N519" s="1"/>
      <c r="O519" s="1"/>
    </row>
    <row r="520">
      <c r="N520" s="1"/>
      <c r="O520" s="1"/>
    </row>
    <row r="521">
      <c r="N521" s="1"/>
      <c r="O521" s="1"/>
    </row>
    <row r="522">
      <c r="N522" s="1"/>
      <c r="O522" s="1"/>
    </row>
    <row r="523">
      <c r="N523" s="1"/>
      <c r="O523" s="1"/>
    </row>
    <row r="524">
      <c r="N524" s="1"/>
      <c r="O524" s="1"/>
    </row>
    <row r="525">
      <c r="N525" s="1"/>
      <c r="O525" s="1"/>
    </row>
    <row r="526">
      <c r="N526" s="1"/>
      <c r="O526" s="1"/>
    </row>
    <row r="527">
      <c r="N527" s="1"/>
      <c r="O527" s="1"/>
    </row>
    <row r="528">
      <c r="N528" s="1"/>
      <c r="O528" s="1"/>
    </row>
    <row r="529">
      <c r="N529" s="1"/>
      <c r="O529" s="1"/>
    </row>
    <row r="530">
      <c r="N530" s="1"/>
      <c r="O530" s="1"/>
    </row>
    <row r="531">
      <c r="N531" s="1"/>
      <c r="O531" s="1"/>
    </row>
    <row r="532">
      <c r="N532" s="1"/>
      <c r="O532" s="1"/>
    </row>
    <row r="533">
      <c r="N533" s="1"/>
      <c r="O533" s="1"/>
    </row>
    <row r="534">
      <c r="N534" s="1"/>
      <c r="O534" s="1"/>
    </row>
    <row r="535">
      <c r="N535" s="1"/>
      <c r="O535" s="1"/>
    </row>
    <row r="536">
      <c r="N536" s="1"/>
      <c r="O536" s="1"/>
    </row>
    <row r="537">
      <c r="N537" s="1"/>
      <c r="O537" s="1"/>
    </row>
    <row r="538">
      <c r="N538" s="1"/>
      <c r="O538" s="1"/>
    </row>
    <row r="539">
      <c r="N539" s="1"/>
      <c r="O539" s="1"/>
    </row>
    <row r="540">
      <c r="N540" s="1"/>
      <c r="O540" s="1"/>
    </row>
    <row r="541">
      <c r="N541" s="1"/>
      <c r="O541" s="1"/>
    </row>
    <row r="542">
      <c r="N542" s="1"/>
      <c r="O542" s="1"/>
    </row>
    <row r="543">
      <c r="N543" s="1"/>
      <c r="O543" s="1"/>
    </row>
    <row r="544">
      <c r="N544" s="1"/>
      <c r="O544" s="1"/>
    </row>
    <row r="545">
      <c r="N545" s="1"/>
      <c r="O545" s="1"/>
    </row>
    <row r="546">
      <c r="N546" s="1"/>
      <c r="O546" s="1"/>
    </row>
    <row r="547">
      <c r="N547" s="1"/>
      <c r="O547" s="1"/>
    </row>
    <row r="548">
      <c r="N548" s="1"/>
      <c r="O548" s="1"/>
    </row>
    <row r="549">
      <c r="N549" s="1"/>
      <c r="O549" s="1"/>
    </row>
    <row r="550">
      <c r="N550" s="1"/>
      <c r="O550" s="1"/>
    </row>
    <row r="551">
      <c r="N551" s="1"/>
      <c r="O551" s="1"/>
    </row>
    <row r="552">
      <c r="N552" s="1"/>
      <c r="O552" s="1"/>
    </row>
    <row r="553">
      <c r="N553" s="1"/>
      <c r="O553" s="1"/>
    </row>
    <row r="554">
      <c r="N554" s="1"/>
      <c r="O554" s="1"/>
    </row>
    <row r="555">
      <c r="N555" s="1"/>
      <c r="O555" s="1"/>
    </row>
    <row r="556">
      <c r="N556" s="1"/>
      <c r="O556" s="1"/>
    </row>
    <row r="557">
      <c r="N557" s="1"/>
      <c r="O557" s="1"/>
    </row>
    <row r="558">
      <c r="N558" s="1"/>
      <c r="O558" s="1"/>
    </row>
    <row r="559">
      <c r="N559" s="1"/>
      <c r="O559" s="1"/>
    </row>
    <row r="560">
      <c r="N560" s="1"/>
      <c r="O560" s="1"/>
    </row>
    <row r="561">
      <c r="N561" s="1"/>
      <c r="O561" s="1"/>
    </row>
    <row r="562">
      <c r="N562" s="1"/>
      <c r="O562" s="1"/>
    </row>
    <row r="563">
      <c r="N563" s="1"/>
      <c r="O563" s="1"/>
    </row>
    <row r="564">
      <c r="N564" s="1"/>
      <c r="O564" s="1"/>
    </row>
    <row r="565">
      <c r="N565" s="1"/>
      <c r="O565" s="1"/>
    </row>
    <row r="566">
      <c r="N566" s="1"/>
      <c r="O566" s="1"/>
    </row>
    <row r="567">
      <c r="N567" s="1"/>
      <c r="O567" s="1"/>
    </row>
    <row r="568">
      <c r="N568" s="1"/>
      <c r="O568" s="1"/>
    </row>
    <row r="569">
      <c r="N569" s="1"/>
      <c r="O569" s="1"/>
    </row>
    <row r="570">
      <c r="N570" s="1"/>
      <c r="O570" s="1"/>
    </row>
    <row r="571">
      <c r="N571" s="1"/>
      <c r="O571" s="1"/>
    </row>
    <row r="572">
      <c r="N572" s="1"/>
      <c r="O572" s="1"/>
    </row>
    <row r="573">
      <c r="N573" s="1"/>
      <c r="O573" s="1"/>
    </row>
    <row r="574">
      <c r="N574" s="1"/>
      <c r="O574" s="1"/>
    </row>
    <row r="575">
      <c r="N575" s="1"/>
      <c r="O575" s="1"/>
    </row>
    <row r="576">
      <c r="N576" s="1"/>
      <c r="O576" s="1"/>
    </row>
    <row r="577">
      <c r="N577" s="1"/>
      <c r="O577" s="1"/>
    </row>
    <row r="578">
      <c r="N578" s="1"/>
      <c r="O578" s="1"/>
    </row>
    <row r="579">
      <c r="N579" s="1"/>
      <c r="O579" s="1"/>
    </row>
    <row r="580">
      <c r="N580" s="1"/>
      <c r="O580" s="1"/>
    </row>
    <row r="581">
      <c r="N581" s="1"/>
      <c r="O581" s="1"/>
    </row>
    <row r="582">
      <c r="N582" s="1"/>
      <c r="O582" s="1"/>
    </row>
    <row r="583">
      <c r="N583" s="1"/>
      <c r="O583" s="1"/>
    </row>
    <row r="584">
      <c r="N584" s="1"/>
      <c r="O584" s="1"/>
    </row>
    <row r="585">
      <c r="N585" s="1"/>
      <c r="O585" s="1"/>
    </row>
    <row r="586">
      <c r="N586" s="1"/>
      <c r="O586" s="1"/>
    </row>
    <row r="587">
      <c r="N587" s="1"/>
      <c r="O587" s="1"/>
    </row>
    <row r="588">
      <c r="N588" s="1"/>
      <c r="O588" s="1"/>
    </row>
    <row r="589">
      <c r="N589" s="1"/>
      <c r="O589" s="1"/>
    </row>
    <row r="590">
      <c r="N590" s="1"/>
      <c r="O590" s="1"/>
    </row>
    <row r="591">
      <c r="N591" s="1"/>
      <c r="O591" s="1"/>
    </row>
    <row r="592">
      <c r="N592" s="1"/>
      <c r="O592" s="1"/>
    </row>
    <row r="593">
      <c r="N593" s="1"/>
      <c r="O593" s="1"/>
    </row>
    <row r="594">
      <c r="N594" s="1"/>
      <c r="O594" s="1"/>
    </row>
    <row r="595">
      <c r="N595" s="1"/>
      <c r="O595" s="1"/>
    </row>
    <row r="596">
      <c r="N596" s="1"/>
      <c r="O596" s="1"/>
    </row>
    <row r="597">
      <c r="N597" s="1"/>
      <c r="O597" s="1"/>
    </row>
    <row r="598">
      <c r="N598" s="1"/>
      <c r="O598" s="1"/>
    </row>
    <row r="599">
      <c r="N599" s="1"/>
      <c r="O599" s="1"/>
    </row>
    <row r="600">
      <c r="N600" s="1"/>
      <c r="O600" s="1"/>
    </row>
    <row r="601">
      <c r="N601" s="1"/>
      <c r="O601" s="1"/>
    </row>
    <row r="602">
      <c r="N602" s="1"/>
      <c r="O602" s="1"/>
    </row>
    <row r="603">
      <c r="N603" s="1"/>
      <c r="O603" s="1"/>
    </row>
    <row r="604">
      <c r="N604" s="1"/>
      <c r="O604" s="1"/>
    </row>
    <row r="605">
      <c r="N605" s="1"/>
      <c r="O605" s="1"/>
    </row>
    <row r="606">
      <c r="N606" s="1"/>
      <c r="O606" s="1"/>
    </row>
    <row r="607">
      <c r="N607" s="1"/>
      <c r="O607" s="1"/>
    </row>
    <row r="608">
      <c r="N608" s="1"/>
      <c r="O608" s="1"/>
    </row>
    <row r="609">
      <c r="N609" s="1"/>
      <c r="O609" s="1"/>
    </row>
    <row r="610">
      <c r="N610" s="1"/>
      <c r="O610" s="1"/>
    </row>
    <row r="611">
      <c r="N611" s="1"/>
      <c r="O611" s="1"/>
    </row>
    <row r="612">
      <c r="N612" s="1"/>
      <c r="O612" s="1"/>
    </row>
    <row r="613">
      <c r="N613" s="1"/>
      <c r="O613" s="1"/>
    </row>
    <row r="614">
      <c r="N614" s="1"/>
      <c r="O614" s="1"/>
    </row>
    <row r="615">
      <c r="N615" s="1"/>
      <c r="O615" s="1"/>
    </row>
    <row r="616">
      <c r="N616" s="1"/>
      <c r="O616" s="1"/>
    </row>
    <row r="617">
      <c r="N617" s="1"/>
      <c r="O617" s="1"/>
    </row>
    <row r="618">
      <c r="N618" s="1"/>
      <c r="O618" s="1"/>
    </row>
    <row r="619">
      <c r="N619" s="1"/>
      <c r="O619" s="1"/>
    </row>
    <row r="620">
      <c r="N620" s="1"/>
      <c r="O620" s="1"/>
    </row>
    <row r="621">
      <c r="N621" s="1"/>
      <c r="O621" s="1"/>
    </row>
    <row r="622">
      <c r="N622" s="1"/>
      <c r="O622" s="1"/>
    </row>
    <row r="623">
      <c r="N623" s="1"/>
      <c r="O623" s="1"/>
    </row>
    <row r="624">
      <c r="N624" s="1"/>
      <c r="O624" s="1"/>
    </row>
    <row r="625">
      <c r="N625" s="1"/>
      <c r="O625" s="1"/>
    </row>
    <row r="626">
      <c r="N626" s="1"/>
      <c r="O626" s="1"/>
    </row>
    <row r="627">
      <c r="N627" s="1"/>
      <c r="O627" s="1"/>
    </row>
    <row r="628">
      <c r="N628" s="1"/>
      <c r="O628" s="1"/>
    </row>
    <row r="629">
      <c r="N629" s="1"/>
      <c r="O629" s="1"/>
    </row>
    <row r="630">
      <c r="N630" s="1"/>
      <c r="O630" s="1"/>
    </row>
    <row r="631">
      <c r="N631" s="1"/>
      <c r="O631" s="1"/>
    </row>
    <row r="632">
      <c r="N632" s="1"/>
      <c r="O632" s="1"/>
    </row>
    <row r="633">
      <c r="N633" s="1"/>
      <c r="O633" s="1"/>
    </row>
    <row r="634">
      <c r="N634" s="1"/>
      <c r="O634" s="1"/>
    </row>
    <row r="635">
      <c r="N635" s="1"/>
      <c r="O635" s="1"/>
    </row>
    <row r="636">
      <c r="N636" s="1"/>
      <c r="O636" s="1"/>
    </row>
    <row r="637">
      <c r="N637" s="1"/>
      <c r="O637" s="1"/>
    </row>
    <row r="638">
      <c r="N638" s="1"/>
      <c r="O638" s="1"/>
    </row>
    <row r="639">
      <c r="N639" s="1"/>
      <c r="O639" s="1"/>
    </row>
    <row r="640">
      <c r="N640" s="1"/>
      <c r="O640" s="1"/>
    </row>
    <row r="641">
      <c r="N641" s="1"/>
      <c r="O641" s="1"/>
    </row>
    <row r="642">
      <c r="N642" s="1"/>
      <c r="O642" s="1"/>
    </row>
    <row r="643">
      <c r="N643" s="1"/>
      <c r="O643" s="1"/>
    </row>
    <row r="644">
      <c r="N644" s="1"/>
      <c r="O644" s="1"/>
    </row>
    <row r="645">
      <c r="N645" s="1"/>
      <c r="O645" s="1"/>
    </row>
    <row r="646">
      <c r="N646" s="1"/>
      <c r="O646" s="1"/>
    </row>
    <row r="647">
      <c r="N647" s="1"/>
      <c r="O647" s="1"/>
    </row>
    <row r="648">
      <c r="N648" s="1"/>
      <c r="O648" s="1"/>
    </row>
    <row r="649">
      <c r="N649" s="1"/>
      <c r="O649" s="1"/>
    </row>
    <row r="650">
      <c r="N650" s="1"/>
      <c r="O650" s="1"/>
    </row>
    <row r="651">
      <c r="N651" s="1"/>
      <c r="O651" s="1"/>
    </row>
    <row r="652">
      <c r="N652" s="1"/>
      <c r="O652" s="1"/>
    </row>
    <row r="653">
      <c r="N653" s="1"/>
      <c r="O653" s="1"/>
    </row>
    <row r="654">
      <c r="N654" s="1"/>
      <c r="O654" s="1"/>
    </row>
    <row r="655">
      <c r="N655" s="1"/>
      <c r="O655" s="1"/>
    </row>
    <row r="656">
      <c r="N656" s="1"/>
      <c r="O656" s="1"/>
    </row>
    <row r="657">
      <c r="N657" s="1"/>
      <c r="O657" s="1"/>
    </row>
    <row r="658">
      <c r="N658" s="1"/>
      <c r="O658" s="1"/>
    </row>
    <row r="659">
      <c r="N659" s="1"/>
      <c r="O659" s="1"/>
    </row>
    <row r="660">
      <c r="N660" s="1"/>
      <c r="O660" s="1"/>
    </row>
    <row r="661">
      <c r="N661" s="1"/>
      <c r="O661" s="1"/>
    </row>
    <row r="662">
      <c r="N662" s="1"/>
      <c r="O662" s="1"/>
    </row>
    <row r="663">
      <c r="N663" s="1"/>
      <c r="O663" s="1"/>
    </row>
    <row r="664">
      <c r="N664" s="1"/>
      <c r="O664" s="1"/>
    </row>
    <row r="665">
      <c r="N665" s="1"/>
      <c r="O665" s="1"/>
    </row>
    <row r="666">
      <c r="N666" s="1"/>
      <c r="O666" s="1"/>
    </row>
    <row r="667">
      <c r="N667" s="1"/>
      <c r="O667" s="1"/>
    </row>
    <row r="668">
      <c r="N668" s="1"/>
      <c r="O668" s="1"/>
    </row>
    <row r="669">
      <c r="N669" s="1"/>
      <c r="O669" s="1"/>
    </row>
    <row r="670">
      <c r="N670" s="1"/>
      <c r="O670" s="1"/>
    </row>
    <row r="671">
      <c r="N671" s="1"/>
      <c r="O671" s="1"/>
    </row>
    <row r="672">
      <c r="N672" s="1"/>
      <c r="O672" s="1"/>
    </row>
    <row r="673">
      <c r="N673" s="1"/>
      <c r="O673" s="1"/>
    </row>
    <row r="674">
      <c r="N674" s="1"/>
      <c r="O674" s="1"/>
    </row>
    <row r="675">
      <c r="N675" s="1"/>
      <c r="O675" s="1"/>
    </row>
    <row r="676">
      <c r="N676" s="1"/>
      <c r="O676" s="1"/>
    </row>
    <row r="677">
      <c r="N677" s="1"/>
      <c r="O677" s="1"/>
    </row>
    <row r="678">
      <c r="N678" s="1"/>
      <c r="O678" s="1"/>
    </row>
    <row r="679">
      <c r="N679" s="1"/>
      <c r="O679" s="1"/>
    </row>
    <row r="680">
      <c r="N680" s="1"/>
      <c r="O680" s="1"/>
    </row>
    <row r="681">
      <c r="N681" s="1"/>
      <c r="O681" s="1"/>
    </row>
    <row r="682">
      <c r="N682" s="1"/>
      <c r="O682" s="1"/>
    </row>
    <row r="683">
      <c r="N683" s="1"/>
      <c r="O683" s="1"/>
    </row>
    <row r="684">
      <c r="N684" s="1"/>
      <c r="O684" s="1"/>
    </row>
    <row r="685">
      <c r="N685" s="1"/>
      <c r="O685" s="1"/>
    </row>
    <row r="686">
      <c r="N686" s="1"/>
      <c r="O686" s="1"/>
    </row>
    <row r="687">
      <c r="N687" s="1"/>
      <c r="O687" s="1"/>
    </row>
    <row r="688">
      <c r="N688" s="1"/>
      <c r="O688" s="1"/>
    </row>
    <row r="689">
      <c r="N689" s="1"/>
      <c r="O689" s="1"/>
    </row>
    <row r="690">
      <c r="N690" s="1"/>
      <c r="O690" s="1"/>
    </row>
    <row r="691">
      <c r="N691" s="1"/>
      <c r="O691" s="1"/>
    </row>
    <row r="692">
      <c r="N692" s="1"/>
      <c r="O692" s="1"/>
    </row>
    <row r="693">
      <c r="N693" s="1"/>
      <c r="O693" s="1"/>
    </row>
    <row r="694">
      <c r="N694" s="1"/>
      <c r="O694" s="1"/>
    </row>
    <row r="695">
      <c r="N695" s="1"/>
      <c r="O695" s="1"/>
    </row>
    <row r="696">
      <c r="N696" s="1"/>
      <c r="O696" s="1"/>
    </row>
    <row r="697">
      <c r="N697" s="1"/>
      <c r="O697" s="1"/>
    </row>
    <row r="698">
      <c r="N698" s="1"/>
      <c r="O698" s="1"/>
    </row>
    <row r="699">
      <c r="N699" s="1"/>
      <c r="O699" s="1"/>
    </row>
    <row r="700">
      <c r="N700" s="1"/>
      <c r="O700" s="1"/>
    </row>
    <row r="701">
      <c r="N701" s="1"/>
      <c r="O701" s="1"/>
    </row>
    <row r="702">
      <c r="N702" s="1"/>
      <c r="O702" s="1"/>
    </row>
    <row r="703">
      <c r="N703" s="1"/>
      <c r="O703" s="1"/>
    </row>
    <row r="704">
      <c r="N704" s="1"/>
      <c r="O704" s="1"/>
    </row>
    <row r="705">
      <c r="N705" s="1"/>
      <c r="O705" s="1"/>
    </row>
    <row r="706">
      <c r="N706" s="1"/>
      <c r="O706" s="1"/>
    </row>
    <row r="707">
      <c r="N707" s="1"/>
      <c r="O707" s="1"/>
    </row>
    <row r="708">
      <c r="N708" s="1"/>
      <c r="O708" s="1"/>
    </row>
    <row r="709">
      <c r="N709" s="1"/>
      <c r="O709" s="1"/>
    </row>
    <row r="710">
      <c r="N710" s="1"/>
      <c r="O710" s="1"/>
    </row>
    <row r="711">
      <c r="N711" s="1"/>
      <c r="O711" s="1"/>
    </row>
    <row r="712">
      <c r="N712" s="1"/>
      <c r="O712" s="1"/>
    </row>
    <row r="713">
      <c r="N713" s="1"/>
      <c r="O713" s="1"/>
    </row>
    <row r="714">
      <c r="N714" s="1"/>
      <c r="O714" s="1"/>
    </row>
    <row r="715">
      <c r="N715" s="1"/>
      <c r="O715" s="1"/>
    </row>
    <row r="716">
      <c r="N716" s="1"/>
      <c r="O716" s="1"/>
    </row>
    <row r="717">
      <c r="N717" s="1"/>
      <c r="O717" s="1"/>
    </row>
    <row r="718">
      <c r="N718" s="1"/>
      <c r="O718" s="1"/>
    </row>
    <row r="719">
      <c r="N719" s="1"/>
      <c r="O719" s="1"/>
    </row>
    <row r="720">
      <c r="N720" s="1"/>
      <c r="O720" s="1"/>
    </row>
    <row r="721">
      <c r="N721" s="1"/>
      <c r="O721" s="1"/>
    </row>
    <row r="722">
      <c r="N722" s="1"/>
      <c r="O722" s="1"/>
    </row>
    <row r="723">
      <c r="N723" s="1"/>
      <c r="O723" s="1"/>
    </row>
    <row r="724">
      <c r="N724" s="1"/>
      <c r="O724" s="1"/>
    </row>
    <row r="725">
      <c r="N725" s="1"/>
      <c r="O725" s="1"/>
    </row>
    <row r="726">
      <c r="N726" s="1"/>
      <c r="O726" s="1"/>
    </row>
    <row r="727">
      <c r="N727" s="1"/>
      <c r="O727" s="1"/>
    </row>
    <row r="728">
      <c r="N728" s="1"/>
      <c r="O728" s="1"/>
    </row>
    <row r="729">
      <c r="N729" s="1"/>
      <c r="O729" s="1"/>
    </row>
    <row r="730">
      <c r="N730" s="1"/>
      <c r="O730" s="1"/>
    </row>
    <row r="731">
      <c r="N731" s="1"/>
      <c r="O731" s="1"/>
    </row>
    <row r="732">
      <c r="N732" s="1"/>
      <c r="O732" s="1"/>
    </row>
    <row r="733">
      <c r="N733" s="1"/>
      <c r="O733" s="1"/>
    </row>
    <row r="734">
      <c r="N734" s="1"/>
      <c r="O734" s="1"/>
    </row>
    <row r="735">
      <c r="N735" s="1"/>
      <c r="O735" s="1"/>
    </row>
    <row r="736">
      <c r="N736" s="1"/>
      <c r="O736" s="1"/>
    </row>
    <row r="737">
      <c r="N737" s="1"/>
      <c r="O737" s="1"/>
    </row>
    <row r="738">
      <c r="N738" s="1"/>
      <c r="O738" s="1"/>
    </row>
    <row r="739">
      <c r="N739" s="1"/>
      <c r="O739" s="1"/>
    </row>
    <row r="740">
      <c r="N740" s="1"/>
      <c r="O740" s="1"/>
    </row>
    <row r="741">
      <c r="N741" s="1"/>
      <c r="O741" s="1"/>
    </row>
    <row r="742">
      <c r="N742" s="1"/>
      <c r="O742" s="1"/>
    </row>
    <row r="743">
      <c r="N743" s="1"/>
      <c r="O743" s="1"/>
    </row>
    <row r="744">
      <c r="N744" s="1"/>
      <c r="O744" s="1"/>
    </row>
    <row r="745">
      <c r="N745" s="1"/>
      <c r="O745" s="1"/>
    </row>
    <row r="746">
      <c r="N746" s="1"/>
      <c r="O746" s="1"/>
    </row>
    <row r="747">
      <c r="N747" s="1"/>
      <c r="O747" s="1"/>
    </row>
    <row r="748">
      <c r="N748" s="1"/>
      <c r="O748" s="1"/>
    </row>
    <row r="749">
      <c r="N749" s="1"/>
      <c r="O749" s="1"/>
    </row>
    <row r="750">
      <c r="N750" s="1"/>
      <c r="O750" s="1"/>
    </row>
    <row r="751">
      <c r="N751" s="1"/>
      <c r="O751" s="1"/>
    </row>
    <row r="752">
      <c r="N752" s="1"/>
      <c r="O752" s="1"/>
    </row>
    <row r="753">
      <c r="N753" s="1"/>
      <c r="O753" s="1"/>
    </row>
    <row r="754">
      <c r="N754" s="1"/>
      <c r="O754" s="1"/>
    </row>
    <row r="755">
      <c r="N755" s="1"/>
      <c r="O755" s="1"/>
    </row>
    <row r="756">
      <c r="N756" s="1"/>
      <c r="O756" s="1"/>
    </row>
    <row r="757">
      <c r="N757" s="1"/>
      <c r="O757" s="1"/>
    </row>
    <row r="758">
      <c r="N758" s="1"/>
      <c r="O758" s="1"/>
    </row>
    <row r="759">
      <c r="N759" s="1"/>
      <c r="O759" s="1"/>
    </row>
    <row r="760">
      <c r="N760" s="1"/>
      <c r="O760" s="1"/>
    </row>
    <row r="761">
      <c r="N761" s="1"/>
      <c r="O761" s="1"/>
    </row>
    <row r="762">
      <c r="N762" s="1"/>
      <c r="O762" s="1"/>
    </row>
    <row r="763">
      <c r="N763" s="1"/>
      <c r="O763" s="1"/>
    </row>
    <row r="764">
      <c r="N764" s="1"/>
      <c r="O764" s="1"/>
    </row>
    <row r="765">
      <c r="N765" s="1"/>
      <c r="O765" s="1"/>
    </row>
    <row r="766">
      <c r="N766" s="1"/>
      <c r="O766" s="1"/>
    </row>
    <row r="767">
      <c r="N767" s="1"/>
      <c r="O767" s="1"/>
    </row>
    <row r="768">
      <c r="N768" s="1"/>
      <c r="O768" s="1"/>
    </row>
    <row r="769">
      <c r="N769" s="1"/>
      <c r="O769" s="1"/>
    </row>
    <row r="770">
      <c r="N770" s="1"/>
      <c r="O770" s="1"/>
    </row>
    <row r="771">
      <c r="N771" s="1"/>
      <c r="O771" s="1"/>
    </row>
    <row r="772">
      <c r="N772" s="1"/>
      <c r="O772" s="1"/>
    </row>
    <row r="773">
      <c r="N773" s="1"/>
      <c r="O773" s="1"/>
    </row>
    <row r="774">
      <c r="N774" s="1"/>
      <c r="O774" s="1"/>
    </row>
    <row r="775">
      <c r="N775" s="1"/>
      <c r="O775" s="1"/>
    </row>
    <row r="776">
      <c r="N776" s="1"/>
      <c r="O776" s="1"/>
    </row>
    <row r="777">
      <c r="N777" s="1"/>
      <c r="O777" s="1"/>
    </row>
    <row r="778">
      <c r="N778" s="1"/>
      <c r="O778" s="1"/>
    </row>
    <row r="779">
      <c r="N779" s="1"/>
      <c r="O779" s="1"/>
    </row>
    <row r="780">
      <c r="N780" s="1"/>
      <c r="O780" s="1"/>
    </row>
    <row r="781">
      <c r="N781" s="1"/>
      <c r="O781" s="1"/>
    </row>
    <row r="782">
      <c r="N782" s="1"/>
      <c r="O782" s="1"/>
    </row>
    <row r="783">
      <c r="N783" s="1"/>
      <c r="O783" s="1"/>
    </row>
    <row r="784">
      <c r="N784" s="1"/>
      <c r="O784" s="1"/>
    </row>
    <row r="785">
      <c r="N785" s="1"/>
      <c r="O785" s="1"/>
    </row>
    <row r="786">
      <c r="N786" s="1"/>
      <c r="O786" s="1"/>
    </row>
    <row r="787">
      <c r="N787" s="1"/>
      <c r="O787" s="1"/>
    </row>
    <row r="788">
      <c r="N788" s="1"/>
      <c r="O788" s="1"/>
    </row>
    <row r="789">
      <c r="N789" s="1"/>
      <c r="O789" s="1"/>
    </row>
    <row r="790">
      <c r="N790" s="1"/>
      <c r="O790" s="1"/>
    </row>
    <row r="791">
      <c r="N791" s="1"/>
      <c r="O791" s="1"/>
    </row>
    <row r="792">
      <c r="N792" s="1"/>
      <c r="O792" s="1"/>
    </row>
    <row r="793">
      <c r="N793" s="1"/>
      <c r="O793" s="1"/>
    </row>
    <row r="794">
      <c r="N794" s="1"/>
      <c r="O794" s="1"/>
    </row>
    <row r="795">
      <c r="N795" s="1"/>
      <c r="O795" s="1"/>
    </row>
    <row r="796">
      <c r="N796" s="1"/>
      <c r="O796" s="1"/>
    </row>
    <row r="797">
      <c r="N797" s="1"/>
      <c r="O797" s="1"/>
    </row>
    <row r="798">
      <c r="N798" s="1"/>
      <c r="O798" s="1"/>
    </row>
    <row r="799">
      <c r="N799" s="1"/>
      <c r="O799" s="1"/>
    </row>
    <row r="800">
      <c r="N800" s="1"/>
      <c r="O800" s="1"/>
    </row>
    <row r="801">
      <c r="N801" s="1"/>
      <c r="O801" s="1"/>
    </row>
    <row r="802">
      <c r="N802" s="1"/>
      <c r="O802" s="1"/>
    </row>
    <row r="803">
      <c r="N803" s="1"/>
      <c r="O803" s="1"/>
    </row>
    <row r="804">
      <c r="N804" s="1"/>
      <c r="O804" s="1"/>
    </row>
    <row r="805">
      <c r="N805" s="1"/>
      <c r="O805" s="1"/>
    </row>
    <row r="806">
      <c r="N806" s="1"/>
      <c r="O806" s="1"/>
    </row>
    <row r="807">
      <c r="N807" s="1"/>
      <c r="O807" s="1"/>
    </row>
    <row r="808">
      <c r="N808" s="1"/>
      <c r="O808" s="1"/>
    </row>
    <row r="809">
      <c r="N809" s="1"/>
      <c r="O809" s="1"/>
    </row>
    <row r="810">
      <c r="N810" s="1"/>
      <c r="O810" s="1"/>
    </row>
    <row r="811">
      <c r="N811" s="1"/>
      <c r="O811" s="1"/>
    </row>
    <row r="812">
      <c r="N812" s="1"/>
      <c r="O812" s="1"/>
    </row>
    <row r="813">
      <c r="N813" s="1"/>
      <c r="O813" s="1"/>
    </row>
    <row r="814">
      <c r="N814" s="1"/>
      <c r="O814" s="1"/>
    </row>
    <row r="815">
      <c r="N815" s="1"/>
      <c r="O815" s="1"/>
    </row>
    <row r="816">
      <c r="N816" s="1"/>
      <c r="O816" s="1"/>
    </row>
    <row r="817">
      <c r="N817" s="1"/>
      <c r="O817" s="1"/>
    </row>
    <row r="818">
      <c r="N818" s="1"/>
      <c r="O818" s="1"/>
    </row>
    <row r="819">
      <c r="N819" s="1"/>
      <c r="O819" s="1"/>
    </row>
    <row r="820">
      <c r="N820" s="1"/>
      <c r="O820" s="1"/>
    </row>
    <row r="821">
      <c r="N821" s="1"/>
      <c r="O821" s="1"/>
    </row>
    <row r="822">
      <c r="N822" s="1"/>
      <c r="O822" s="1"/>
    </row>
    <row r="823">
      <c r="N823" s="1"/>
      <c r="O823" s="1"/>
    </row>
    <row r="824">
      <c r="N824" s="1"/>
      <c r="O824" s="1"/>
    </row>
    <row r="825">
      <c r="N825" s="1"/>
      <c r="O825" s="1"/>
    </row>
    <row r="826">
      <c r="N826" s="1"/>
      <c r="O826" s="1"/>
    </row>
    <row r="827">
      <c r="N827" s="1"/>
      <c r="O827" s="1"/>
    </row>
    <row r="828">
      <c r="N828" s="1"/>
      <c r="O828" s="1"/>
    </row>
    <row r="829">
      <c r="N829" s="1"/>
      <c r="O829" s="1"/>
    </row>
    <row r="830">
      <c r="N830" s="1"/>
      <c r="O830" s="1"/>
    </row>
    <row r="831">
      <c r="N831" s="1"/>
      <c r="O831" s="1"/>
    </row>
    <row r="832">
      <c r="N832" s="1"/>
      <c r="O832" s="1"/>
    </row>
    <row r="833">
      <c r="N833" s="1"/>
      <c r="O833" s="1"/>
    </row>
    <row r="834">
      <c r="N834" s="1"/>
      <c r="O834" s="1"/>
    </row>
    <row r="835">
      <c r="N835" s="1"/>
      <c r="O835" s="1"/>
    </row>
    <row r="836">
      <c r="N836" s="1"/>
      <c r="O836" s="1"/>
    </row>
    <row r="837">
      <c r="N837" s="1"/>
      <c r="O837" s="1"/>
    </row>
    <row r="838">
      <c r="N838" s="1"/>
      <c r="O838" s="1"/>
    </row>
    <row r="839">
      <c r="N839" s="1"/>
      <c r="O839" s="1"/>
    </row>
    <row r="840">
      <c r="N840" s="1"/>
      <c r="O840" s="1"/>
    </row>
    <row r="841">
      <c r="N841" s="1"/>
      <c r="O841" s="1"/>
    </row>
    <row r="842">
      <c r="N842" s="1"/>
      <c r="O842" s="1"/>
    </row>
    <row r="843">
      <c r="N843" s="1"/>
      <c r="O843" s="1"/>
    </row>
    <row r="844">
      <c r="N844" s="1"/>
      <c r="O844" s="1"/>
    </row>
    <row r="845">
      <c r="N845" s="1"/>
      <c r="O845" s="1"/>
    </row>
    <row r="846">
      <c r="N846" s="1"/>
      <c r="O846" s="1"/>
    </row>
    <row r="847">
      <c r="N847" s="1"/>
      <c r="O847" s="1"/>
    </row>
    <row r="848">
      <c r="N848" s="1"/>
      <c r="O848" s="1"/>
    </row>
    <row r="849">
      <c r="N849" s="1"/>
      <c r="O849" s="1"/>
    </row>
    <row r="850">
      <c r="N850" s="1"/>
      <c r="O850" s="1"/>
    </row>
    <row r="851">
      <c r="N851" s="1"/>
      <c r="O851" s="1"/>
    </row>
    <row r="852">
      <c r="N852" s="1"/>
      <c r="O852" s="1"/>
    </row>
    <row r="853">
      <c r="N853" s="1"/>
      <c r="O853" s="1"/>
    </row>
    <row r="854">
      <c r="N854" s="1"/>
      <c r="O854" s="1"/>
    </row>
    <row r="855">
      <c r="N855" s="1"/>
      <c r="O855" s="1"/>
    </row>
    <row r="856">
      <c r="N856" s="1"/>
      <c r="O856" s="1"/>
    </row>
    <row r="857">
      <c r="N857" s="1"/>
      <c r="O857" s="1"/>
    </row>
    <row r="858">
      <c r="N858" s="1"/>
      <c r="O858" s="1"/>
    </row>
    <row r="859">
      <c r="N859" s="1"/>
      <c r="O859" s="1"/>
    </row>
    <row r="860">
      <c r="N860" s="1"/>
      <c r="O860" s="1"/>
    </row>
    <row r="861">
      <c r="N861" s="1"/>
      <c r="O861" s="1"/>
    </row>
    <row r="862">
      <c r="N862" s="1"/>
      <c r="O862" s="1"/>
    </row>
    <row r="863">
      <c r="N863" s="1"/>
      <c r="O863" s="1"/>
    </row>
    <row r="864">
      <c r="N864" s="1"/>
      <c r="O864" s="1"/>
    </row>
    <row r="865">
      <c r="N865" s="1"/>
      <c r="O865" s="1"/>
    </row>
    <row r="866">
      <c r="N866" s="1"/>
      <c r="O866" s="1"/>
    </row>
    <row r="867">
      <c r="N867" s="1"/>
      <c r="O867" s="1"/>
    </row>
    <row r="868">
      <c r="N868" s="1"/>
      <c r="O868" s="1"/>
    </row>
    <row r="869">
      <c r="N869" s="1"/>
      <c r="O869" s="1"/>
    </row>
    <row r="870">
      <c r="N870" s="1"/>
      <c r="O870" s="1"/>
    </row>
    <row r="871">
      <c r="N871" s="1"/>
      <c r="O871" s="1"/>
    </row>
    <row r="872">
      <c r="N872" s="1"/>
      <c r="O872" s="1"/>
    </row>
    <row r="873">
      <c r="N873" s="1"/>
      <c r="O873" s="1"/>
    </row>
    <row r="874">
      <c r="N874" s="1"/>
      <c r="O874" s="1"/>
    </row>
    <row r="875">
      <c r="N875" s="1"/>
      <c r="O875" s="1"/>
    </row>
    <row r="876">
      <c r="N876" s="1"/>
      <c r="O876" s="1"/>
    </row>
    <row r="877">
      <c r="N877" s="1"/>
      <c r="O877" s="1"/>
    </row>
    <row r="878">
      <c r="N878" s="1"/>
      <c r="O878" s="1"/>
    </row>
    <row r="879">
      <c r="N879" s="1"/>
      <c r="O879" s="1"/>
    </row>
    <row r="880">
      <c r="N880" s="1"/>
      <c r="O880" s="1"/>
    </row>
    <row r="881">
      <c r="N881" s="1"/>
      <c r="O881" s="1"/>
    </row>
    <row r="882">
      <c r="N882" s="1"/>
      <c r="O882" s="1"/>
    </row>
    <row r="883">
      <c r="N883" s="1"/>
      <c r="O883" s="1"/>
    </row>
    <row r="884">
      <c r="N884" s="1"/>
      <c r="O884" s="1"/>
    </row>
    <row r="885">
      <c r="N885" s="1"/>
      <c r="O885" s="1"/>
    </row>
    <row r="886">
      <c r="N886" s="1"/>
      <c r="O886" s="1"/>
    </row>
    <row r="887">
      <c r="N887" s="1"/>
      <c r="O887" s="1"/>
    </row>
    <row r="888">
      <c r="N888" s="1"/>
      <c r="O888" s="1"/>
    </row>
    <row r="889">
      <c r="N889" s="1"/>
      <c r="O889" s="1"/>
    </row>
    <row r="890">
      <c r="N890" s="1"/>
      <c r="O890" s="1"/>
    </row>
    <row r="891">
      <c r="N891" s="1"/>
      <c r="O891" s="1"/>
    </row>
    <row r="892">
      <c r="N892" s="1"/>
      <c r="O892" s="1"/>
    </row>
    <row r="893">
      <c r="N893" s="1"/>
      <c r="O893" s="1"/>
    </row>
    <row r="894">
      <c r="N894" s="1"/>
      <c r="O894" s="1"/>
    </row>
    <row r="895">
      <c r="N895" s="1"/>
      <c r="O895" s="1"/>
    </row>
    <row r="896">
      <c r="N896" s="1"/>
      <c r="O896" s="1"/>
    </row>
    <row r="897">
      <c r="N897" s="1"/>
      <c r="O897" s="1"/>
    </row>
    <row r="898">
      <c r="N898" s="1"/>
      <c r="O898" s="1"/>
    </row>
    <row r="899">
      <c r="N899" s="1"/>
      <c r="O899" s="1"/>
    </row>
    <row r="900">
      <c r="N900" s="1"/>
      <c r="O900" s="1"/>
    </row>
    <row r="901">
      <c r="N901" s="1"/>
      <c r="O901" s="1"/>
    </row>
    <row r="902">
      <c r="N902" s="1"/>
      <c r="O902" s="1"/>
    </row>
    <row r="903">
      <c r="N903" s="1"/>
      <c r="O903" s="1"/>
    </row>
    <row r="904">
      <c r="N904" s="1"/>
      <c r="O904" s="1"/>
    </row>
    <row r="905">
      <c r="N905" s="1"/>
      <c r="O905" s="1"/>
    </row>
    <row r="906">
      <c r="N906" s="1"/>
      <c r="O906" s="1"/>
    </row>
    <row r="907">
      <c r="N907" s="1"/>
      <c r="O907" s="1"/>
    </row>
    <row r="908">
      <c r="N908" s="1"/>
      <c r="O908" s="1"/>
    </row>
    <row r="909">
      <c r="N909" s="1"/>
      <c r="O909" s="1"/>
    </row>
    <row r="910">
      <c r="N910" s="1"/>
      <c r="O910" s="1"/>
    </row>
    <row r="911">
      <c r="N911" s="1"/>
      <c r="O911" s="1"/>
    </row>
    <row r="912">
      <c r="N912" s="1"/>
      <c r="O912" s="1"/>
    </row>
    <row r="913">
      <c r="N913" s="1"/>
      <c r="O913" s="1"/>
    </row>
    <row r="914">
      <c r="N914" s="1"/>
      <c r="O914" s="1"/>
    </row>
    <row r="915">
      <c r="N915" s="1"/>
      <c r="O915" s="1"/>
    </row>
    <row r="916">
      <c r="N916" s="1"/>
      <c r="O916" s="1"/>
    </row>
    <row r="917">
      <c r="N917" s="1"/>
      <c r="O917" s="1"/>
    </row>
    <row r="918">
      <c r="N918" s="1"/>
      <c r="O918" s="1"/>
    </row>
    <row r="919">
      <c r="N919" s="1"/>
      <c r="O919" s="1"/>
    </row>
    <row r="920">
      <c r="N920" s="1"/>
      <c r="O920" s="1"/>
    </row>
    <row r="921">
      <c r="N921" s="1"/>
      <c r="O921" s="1"/>
    </row>
    <row r="922">
      <c r="N922" s="1"/>
      <c r="O922" s="1"/>
    </row>
    <row r="923">
      <c r="N923" s="1"/>
      <c r="O923" s="1"/>
    </row>
    <row r="924">
      <c r="N924" s="1"/>
      <c r="O924" s="1"/>
    </row>
    <row r="925">
      <c r="N925" s="1"/>
      <c r="O925" s="1"/>
    </row>
    <row r="926">
      <c r="N926" s="1"/>
      <c r="O926" s="1"/>
    </row>
    <row r="927">
      <c r="N927" s="1"/>
      <c r="O927" s="1"/>
    </row>
    <row r="928">
      <c r="N928" s="1"/>
      <c r="O928" s="1"/>
    </row>
    <row r="929">
      <c r="N929" s="1"/>
      <c r="O929" s="1"/>
    </row>
    <row r="930">
      <c r="N930" s="1"/>
      <c r="O930" s="1"/>
    </row>
    <row r="931">
      <c r="N931" s="1"/>
      <c r="O931" s="1"/>
    </row>
    <row r="932">
      <c r="N932" s="1"/>
      <c r="O932" s="1"/>
    </row>
    <row r="933">
      <c r="N933" s="1"/>
      <c r="O933" s="1"/>
    </row>
    <row r="934">
      <c r="N934" s="1"/>
      <c r="O934" s="1"/>
    </row>
    <row r="935">
      <c r="N935" s="1"/>
      <c r="O935" s="1"/>
    </row>
    <row r="936">
      <c r="N936" s="1"/>
      <c r="O936" s="1"/>
    </row>
    <row r="937">
      <c r="N937" s="1"/>
      <c r="O937" s="1"/>
    </row>
    <row r="938">
      <c r="N938" s="1"/>
      <c r="O938" s="1"/>
    </row>
    <row r="939">
      <c r="N939" s="1"/>
      <c r="O939" s="1"/>
    </row>
    <row r="940">
      <c r="N940" s="1"/>
      <c r="O940" s="1"/>
    </row>
    <row r="941">
      <c r="N941" s="1"/>
      <c r="O941" s="1"/>
    </row>
    <row r="942">
      <c r="N942" s="1"/>
      <c r="O942" s="1"/>
    </row>
    <row r="943">
      <c r="N943" s="1"/>
      <c r="O943" s="1"/>
    </row>
    <row r="944">
      <c r="N944" s="1"/>
      <c r="O944" s="1"/>
    </row>
    <row r="945">
      <c r="N945" s="1"/>
      <c r="O945" s="1"/>
    </row>
    <row r="946">
      <c r="N946" s="1"/>
      <c r="O946" s="1"/>
    </row>
    <row r="947">
      <c r="N947" s="1"/>
      <c r="O947" s="1"/>
    </row>
    <row r="948">
      <c r="N948" s="1"/>
      <c r="O948" s="1"/>
    </row>
    <row r="949">
      <c r="N949" s="1"/>
      <c r="O949" s="1"/>
    </row>
    <row r="950">
      <c r="N950" s="1"/>
      <c r="O950" s="1"/>
    </row>
    <row r="951">
      <c r="N951" s="1"/>
      <c r="O951" s="1"/>
    </row>
    <row r="952">
      <c r="N952" s="1"/>
      <c r="O952" s="1"/>
    </row>
    <row r="953">
      <c r="N953" s="1"/>
      <c r="O953" s="1"/>
    </row>
    <row r="954">
      <c r="N954" s="1"/>
      <c r="O954" s="1"/>
    </row>
    <row r="955">
      <c r="N955" s="1"/>
      <c r="O955" s="1"/>
    </row>
    <row r="956">
      <c r="N956" s="1"/>
      <c r="O956" s="1"/>
    </row>
    <row r="957">
      <c r="N957" s="1"/>
      <c r="O957" s="1"/>
    </row>
    <row r="958">
      <c r="N958" s="1"/>
      <c r="O958" s="1"/>
    </row>
    <row r="959">
      <c r="N959" s="1"/>
      <c r="O959" s="1"/>
    </row>
    <row r="960">
      <c r="N960" s="1"/>
      <c r="O960" s="1"/>
    </row>
    <row r="961">
      <c r="N961" s="1"/>
      <c r="O961" s="1"/>
    </row>
    <row r="962">
      <c r="N962" s="1"/>
      <c r="O962" s="1"/>
    </row>
    <row r="963">
      <c r="N963" s="1"/>
      <c r="O963" s="1"/>
    </row>
    <row r="964">
      <c r="N964" s="1"/>
      <c r="O964" s="1"/>
    </row>
    <row r="965">
      <c r="N965" s="1"/>
      <c r="O965" s="1"/>
    </row>
    <row r="966">
      <c r="N966" s="1"/>
      <c r="O966" s="1"/>
    </row>
    <row r="967">
      <c r="N967" s="1"/>
      <c r="O967" s="1"/>
    </row>
    <row r="968">
      <c r="N968" s="1"/>
      <c r="O968" s="1"/>
    </row>
    <row r="969">
      <c r="N969" s="1"/>
      <c r="O969" s="1"/>
    </row>
    <row r="970">
      <c r="N970" s="1"/>
      <c r="O970" s="1"/>
    </row>
    <row r="971">
      <c r="N971" s="1"/>
      <c r="O971" s="1"/>
    </row>
    <row r="972">
      <c r="N972" s="1"/>
      <c r="O972" s="1"/>
    </row>
    <row r="973">
      <c r="N973" s="1"/>
      <c r="O973" s="1"/>
    </row>
    <row r="974">
      <c r="N974" s="1"/>
      <c r="O974" s="1"/>
    </row>
    <row r="975">
      <c r="N975" s="1"/>
      <c r="O975" s="1"/>
    </row>
    <row r="976">
      <c r="N976" s="1"/>
      <c r="O976" s="1"/>
    </row>
    <row r="977">
      <c r="N977" s="1"/>
      <c r="O977" s="1"/>
    </row>
    <row r="978">
      <c r="N978" s="1"/>
      <c r="O978" s="1"/>
    </row>
    <row r="979">
      <c r="N979" s="1"/>
      <c r="O979" s="1"/>
    </row>
    <row r="980">
      <c r="N980" s="1"/>
      <c r="O980" s="1"/>
    </row>
    <row r="981">
      <c r="N981" s="1"/>
      <c r="O981" s="1"/>
    </row>
    <row r="982">
      <c r="N982" s="1"/>
      <c r="O982" s="1"/>
    </row>
    <row r="983">
      <c r="N983" s="1"/>
      <c r="O983" s="1"/>
    </row>
    <row r="984">
      <c r="N984" s="1"/>
      <c r="O984" s="1"/>
    </row>
    <row r="985">
      <c r="N985" s="1"/>
      <c r="O985" s="1"/>
    </row>
    <row r="986">
      <c r="N986" s="1"/>
      <c r="O986" s="1"/>
    </row>
    <row r="987">
      <c r="N987" s="1"/>
      <c r="O987" s="1"/>
    </row>
    <row r="988">
      <c r="N988" s="1"/>
      <c r="O988" s="1"/>
    </row>
    <row r="989">
      <c r="N989" s="1"/>
      <c r="O989" s="1"/>
    </row>
    <row r="990">
      <c r="N990" s="1"/>
      <c r="O990" s="1"/>
    </row>
    <row r="991">
      <c r="N991" s="1"/>
      <c r="O991" s="1"/>
    </row>
    <row r="992">
      <c r="N992" s="1"/>
      <c r="O992" s="1"/>
    </row>
    <row r="993">
      <c r="N993" s="1"/>
      <c r="O993" s="1"/>
    </row>
    <row r="994">
      <c r="N994" s="1"/>
      <c r="O994" s="1"/>
    </row>
    <row r="995">
      <c r="N995" s="1"/>
      <c r="O995" s="1"/>
    </row>
    <row r="996">
      <c r="N996" s="1"/>
      <c r="O996" s="1"/>
    </row>
    <row r="997">
      <c r="N997" s="1"/>
      <c r="O997" s="1"/>
    </row>
    <row r="998">
      <c r="N998" s="1"/>
      <c r="O998" s="1"/>
    </row>
    <row r="999">
      <c r="N999" s="1"/>
      <c r="O999" s="1"/>
    </row>
    <row r="1000">
      <c r="N1000" s="1"/>
      <c r="O1000" s="1"/>
    </row>
  </sheetData>
  <dataValidations>
    <dataValidation type="custom" allowBlank="1" showDropDown="1" sqref="D51:D62 J51:J63">
      <formula1>AND(ISNUMBER(D51),(NOT(OR(NOT(ISERROR(DATEVALUE(D51))), AND(ISNUMBER(D51), LEFT(CELL("format", D51))="D")))))</formula1>
    </dataValidation>
    <dataValidation type="custom" allowBlank="1" showDropDown="1" sqref="L51:L63">
      <formula1>AND(ISNUMBER(L51),(NOT(OR(NOT(ISERROR(DATEVALUE(L51))), AND(ISNUMBER(L51), LEFT(CELL("format", L51))="D")))))</formula1>
    </dataValidation>
    <dataValidation type="list" allowBlank="1" sqref="D96:D107">
      <formula1>"1,1,0.02,99.8%,1,1,1,1,1,1,1,1"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